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 Script" sheetId="1" r:id="rId4"/>
    <sheet state="visible" name="UAT Progress" sheetId="2" r:id="rId5"/>
    <sheet state="visible" name="UAT Error Log" sheetId="3" r:id="rId6"/>
    <sheet state="hidden" name="Butuh Konfirmasi" sheetId="4" r:id="rId7"/>
    <sheet state="visible" name="UAT Issue" sheetId="5" r:id="rId8"/>
    <sheet state="visible" name="UAT Attendance" sheetId="6" r:id="rId9"/>
  </sheets>
  <definedNames/>
  <calcPr/>
  <extLst>
    <ext uri="GoogleSheetsCustomDataVersion2">
      <go:sheetsCustomData xmlns:go="http://customooxmlschemas.google.com/" r:id="rId10" roundtripDataChecksum="rA9l6r7qqnZvZ6mtug6y0LhX6u5wioBbiWVpnNs8AK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4">
      <text>
        <t xml:space="preserve">======
ID#AAAB1SP6-xU
    (2024-10-28 03:21:18)
PT Hanjaya Mandala Sampoerna Tbk, commonly known as Sampoerna, is an Indonesian tobacco company owned by Philip Morris International. Sampoerna is thww</t>
      </text>
    </comment>
    <comment authorId="0" ref="F33">
      <text>
        <t xml:space="preserve">======
ID#AAAB1SP6-xQ
    (2024-10-28 03:21:18)
PT Hanjaya Mandala Sampoerna Tbk, commonly known as Sampoerna, is an Indonesian tobacco company owned by Philip Morris International. Sampoerna is thww</t>
      </text>
    </comment>
    <comment authorId="0" ref="F29">
      <text>
        <t xml:space="preserve">======
ID#AAAB1SCqitk
    (2024-10-28 03:21:18)
PT Hanjaya Mandala Sampoerna Tbk, commonly known as Sampoerna, is an Indonesian tobacco company owned by Philip Morris International. Sampoerna is thw</t>
      </text>
    </comment>
    <comment authorId="0" ref="F28">
      <text>
        <t xml:space="preserve">======
ID#AAAB1SP6-xk
    (2024-10-28 03:21:18)
PT Hanjaya Mandala Sampoerna Tbk</t>
      </text>
    </comment>
    <comment authorId="0" ref="F43">
      <text>
        <t xml:space="preserve">======
ID#AAAB1SP6-xg
    (2024-10-28 03:21:18)
PT Hanjaya Mandala Sampoerna Tbk, commonly known as Sampoerna, is an Indonesian tobacco company owned by Philip Morris International. Sampoerna is thww</t>
      </text>
    </comment>
    <comment authorId="0" ref="F42">
      <text>
        <t xml:space="preserve">======
ID#AAAB1SP6-xo
    (2024-10-28 03:21:18)
PT Hanjaya Mandala Sampoerna Tbk, commonly known as Sampoerna, is an Indonesian tobacco company owned by Philip Morris International. Sampoerna is thww</t>
      </text>
    </comment>
    <comment authorId="0" ref="F25">
      <text>
        <t xml:space="preserve">======
ID#AAAB1SP6-xc
    (2024-10-28 03:21:18)
To start counting your letters, simply write or paste the text into the text area and Count characters. Select Options: to count without spaces, punctu</t>
      </text>
    </comment>
    <comment authorId="0" ref="F24">
      <text>
        <t xml:space="preserve">======
ID#AAAB1SP6-xY
    (2024-10-28 03:21:18)
To start counting your letters, simply write or paste the text into the text area and Count characters. Select Options: to count without spaces, punctu</t>
      </text>
    </comment>
  </commentList>
  <extLst>
    <ext uri="GoogleSheetsCustomDataVersion2">
      <go:sheetsCustomData xmlns:go="http://customooxmlschemas.google.com/" r:id="rId1" roundtripDataSignature="AMtx7mgcZx37fN6MRJASCJPLETM9qbYh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ID#AAAB1SP6-xM
Pilihan drop down list     (2026-03-03 03:35:52)
Input Data
Cek Data
Cek Laporan
Cek Jurnal
COB
Reverse Data</t>
      </text>
    </comment>
  </commentList>
  <extLst>
    <ext uri="GoogleSheetsCustomDataVersion2">
      <go:sheetsCustomData xmlns:go="http://customooxmlschemas.google.com/" r:id="rId1" roundtripDataSignature="AMtx7mgPIPt95zfwec9IoOva9Qby6KZE7A=="/>
    </ext>
  </extLst>
</comments>
</file>

<file path=xl/sharedStrings.xml><?xml version="1.0" encoding="utf-8"?>
<sst xmlns="http://schemas.openxmlformats.org/spreadsheetml/2006/main" count="682" uniqueCount="307">
  <si>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QRIS Merchant Aggregator
PT Cashlez Worldwide Indonesia (CashUp)&gt;</t>
    </r>
  </si>
  <si>
    <r>
      <rPr>
        <rFont val="Calibri"/>
        <b/>
        <i/>
        <color theme="1"/>
        <sz val="20.0"/>
      </rPr>
      <t xml:space="preserve">User Acceptance Test Issue
</t>
    </r>
    <r>
      <rPr>
        <rFont val="Calibri"/>
        <b/>
        <i val="0"/>
        <color theme="1"/>
        <sz val="20.0"/>
      </rPr>
      <t>UAT Enhancement TPMS Notaris</t>
    </r>
  </si>
  <si>
    <t>Progress UAT Penambahan Layanan QRIS Merchant Aggregator Cashup</t>
  </si>
  <si>
    <t>Cek Data</t>
  </si>
  <si>
    <t>Nomor Referensi</t>
  </si>
  <si>
    <t>UAT Error Log for Penambahan Layanan QRIS Merchant Aggregator</t>
  </si>
  <si>
    <t>Dibuat oleh</t>
  </si>
  <si>
    <t>Status Tes Script</t>
  </si>
  <si>
    <t>Tanda Tangan</t>
  </si>
  <si>
    <t>Jumlah</t>
  </si>
  <si>
    <t>Diperiksa oleh</t>
  </si>
  <si>
    <t>Percentage</t>
  </si>
  <si>
    <t>Low</t>
  </si>
  <si>
    <t>Open</t>
  </si>
  <si>
    <t>System</t>
  </si>
  <si>
    <t>Disetujui oleh</t>
  </si>
  <si>
    <t>Kategori</t>
  </si>
  <si>
    <t>Nama Proyek/Aplikasi</t>
  </si>
  <si>
    <t>Berhasil</t>
  </si>
  <si>
    <t>Simulasi</t>
  </si>
  <si>
    <t>Lingkungan Tes</t>
  </si>
  <si>
    <t>Lama Tes (dalam hari)</t>
  </si>
  <si>
    <t>UAT</t>
  </si>
  <si>
    <t>Nama Modul</t>
  </si>
  <si>
    <t>Nomor Skenario</t>
  </si>
  <si>
    <t>Nomor Kasus Tes</t>
  </si>
  <si>
    <t>Langkah Tes</t>
  </si>
  <si>
    <t>Data yang Digunakan</t>
  </si>
  <si>
    <t>Hasil yang Diharapkan</t>
  </si>
  <si>
    <t>Hasil Aktual</t>
  </si>
  <si>
    <t>Medium</t>
  </si>
  <si>
    <t>Closed</t>
  </si>
  <si>
    <t>Status</t>
  </si>
  <si>
    <t>Data</t>
  </si>
  <si>
    <t>Tanggal Pelaksanaan</t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</si>
  <si>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QRIS Merchant Aggregator
PT Cashlez Worldwide Indonesia (CashUp)&gt;</t>
    </r>
  </si>
  <si>
    <t>Pelaksana</t>
  </si>
  <si>
    <t>Jenis script</t>
  </si>
  <si>
    <t>Ket</t>
  </si>
  <si>
    <t>Tanggal Mulai Tes</t>
  </si>
  <si>
    <t>Tanggal Selesai Tes</t>
  </si>
  <si>
    <t>High</t>
  </si>
  <si>
    <t>Ready to test</t>
  </si>
  <si>
    <t>Irdian Muhammad Haikal</t>
  </si>
  <si>
    <t>Dodi Selamet Rohadi</t>
  </si>
  <si>
    <t>Hanna Hasdiani</t>
  </si>
  <si>
    <t>Gagal</t>
  </si>
  <si>
    <t>No.</t>
  </si>
  <si>
    <t>Penjelasan</t>
  </si>
  <si>
    <t>System/ Data</t>
  </si>
  <si>
    <t>Severity</t>
  </si>
  <si>
    <t>Payment</t>
  </si>
  <si>
    <t>Tanggal Ditemukan</t>
  </si>
  <si>
    <t>14,2</t>
  </si>
  <si>
    <r>
      <rPr>
        <rFont val="Arial"/>
        <b/>
        <color theme="1"/>
        <sz val="12.0"/>
      </rPr>
      <t xml:space="preserve">Payment &gt; Edit 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</si>
  <si>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Aging/Hari</t>
  </si>
  <si>
    <t>Ditemukan Oleh</t>
  </si>
  <si>
    <t>Data berhasil ditampilkan</t>
  </si>
  <si>
    <t>Butuh konfirmasi mengenai perubahan perhitungan pada total permbayaran dengan fee bank</t>
  </si>
  <si>
    <r>
      <rPr>
        <rFont val="Calibri"/>
        <b/>
        <color theme="1"/>
        <sz val="13.0"/>
      </rPr>
      <t xml:space="preserve">Solusi </t>
    </r>
    <r>
      <rPr>
        <rFont val="Calibri"/>
        <b/>
        <i/>
        <color theme="1"/>
        <sz val="13.0"/>
      </rPr>
      <t>Defect</t>
    </r>
  </si>
  <si>
    <t>Target Diperbaiki</t>
  </si>
  <si>
    <t>Tanggal Selesai</t>
  </si>
  <si>
    <t>Butuh konfirmasi</t>
  </si>
  <si>
    <t>Reyhan Dahananto / Mila Sri Hardianti</t>
  </si>
  <si>
    <t>Script Plan</t>
  </si>
  <si>
    <t>Hasil yang diharapkan</t>
  </si>
  <si>
    <t>Remarks</t>
  </si>
  <si>
    <r>
      <rPr>
        <rFont val="Arial"/>
        <b/>
        <color theme="1"/>
        <sz val="12.0"/>
      </rPr>
      <t xml:space="preserve">Jenis </t>
    </r>
    <r>
      <rPr>
        <rFont val="Arial"/>
        <b/>
        <i/>
        <color theme="1"/>
        <sz val="12.0"/>
      </rPr>
      <t>Script</t>
    </r>
  </si>
  <si>
    <t>14,3</t>
  </si>
  <si>
    <t>Siap dites</t>
  </si>
  <si>
    <r>
      <rPr>
        <rFont val="Arial"/>
        <b/>
        <color theme="1"/>
        <sz val="12.0"/>
      </rPr>
      <t>Payment &gt; Edit (Save data)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</si>
  <si>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Balance Services</t>
  </si>
  <si>
    <t>Input Data</t>
  </si>
  <si>
    <t>14,4</t>
  </si>
  <si>
    <t>Any Service</t>
  </si>
  <si>
    <r>
      <rPr>
        <rFont val="Arial"/>
        <b/>
        <color theme="1"/>
        <sz val="12.0"/>
      </rPr>
      <t>Payment &gt; Edit  (fee bank dan total biaya otomatis generate)</t>
    </r>
    <r>
      <rPr>
        <rFont val="Arial"/>
        <color theme="1"/>
        <sz val="12.0"/>
      </rPr>
      <t xml:space="preserve">
- Klik menu Notaris
- Klik sub-menu Payment
- Pilih Payment
- Klik tab New
- Klik tombol edit, lalu padaTab Termin, lengkapi field :
   a. Tanggal transfer
   b. Nama Bank
- Klik tombol add, kemudian klik tombol add detail
- Pada termin biaya, tambahkan rincian biaya dan biaya perjasa
</t>
    </r>
    <r>
      <rPr>
        <rFont val="Arial"/>
        <b/>
        <color theme="1"/>
        <sz val="12.0"/>
      </rPr>
      <t>- pilih persentase fee (fee bank dan total biaya otomatis generate)</t>
    </r>
    <r>
      <rPr>
        <rFont val="Arial"/>
        <color theme="1"/>
        <sz val="12.0"/>
      </rPr>
      <t xml:space="preserve">
- Rincian biaya yang sudah tercantum dapat dihapus dengan cara klik tombol remove
- Pada tab document, lakukan upload dokumen sesuai yang tersedia
- Pada tab data cancel, berisikan history cancel.
-Setelah data payment sudah diinput, kemudian klik save dan submit</t>
    </r>
  </si>
  <si>
    <t>Berhasil submit data payment</t>
  </si>
  <si>
    <t>1.1</t>
  </si>
  <si>
    <t>3,1 Access Token Invalid</t>
  </si>
  <si>
    <t>Error Code: 401xx01
Error Message: "Access Token Invalid"</t>
  </si>
  <si>
    <t>Tidak dites</t>
  </si>
  <si>
    <t>14,5</t>
  </si>
  <si>
    <r>
      <rPr>
        <rFont val="Arial"/>
        <b/>
        <color theme="1"/>
        <sz val="12.0"/>
      </rPr>
      <t>Melakukan pengecekan Nominal Biaya Perjasa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</si>
  <si>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'Biaya Perjasa' list detail payment </t>
  </si>
  <si>
    <t>1.2</t>
  </si>
  <si>
    <t>3,2 Unauthorized . Signature</t>
  </si>
  <si>
    <t>Error Code: 401xx00
Error Message: "Unauthorized Signature"</t>
  </si>
  <si>
    <t>14,6</t>
  </si>
  <si>
    <r>
      <rPr>
        <rFont val="Arial"/>
        <b/>
        <color theme="1"/>
        <sz val="12.0"/>
      </rPr>
      <t>List Payment &gt; Menampilkan detail data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</si>
  <si>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1.3</t>
  </si>
  <si>
    <t>3,3 Missing Mandatory Field {} …, etc</t>
  </si>
  <si>
    <t>Error Code: 400xx02
Error Message: "Missing Mandatory Field {........}"</t>
  </si>
  <si>
    <t>Detail data berhasil ditampilkan</t>
  </si>
  <si>
    <t>butuh konfirmasi mengenai Sisa Dana Dalam Tampungan</t>
  </si>
  <si>
    <t>1.4</t>
  </si>
  <si>
    <t>3,3 Invalid Field Format {} .., etc</t>
  </si>
  <si>
    <t>Error Code: 400xx01
Error Message: "Invalid Field Format {........}"</t>
  </si>
  <si>
    <t>14,7</t>
  </si>
  <si>
    <r>
      <rPr>
        <rFont val="Arial"/>
        <b/>
        <color theme="1"/>
        <sz val="12.0"/>
      </rPr>
      <t>List Payment &gt; Menampilkan detail data (Termin)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</si>
  <si>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1.5</t>
  </si>
  <si>
    <t>3,4 Cannot use the same X-EXTERNAL-ID</t>
  </si>
  <si>
    <t>Error Code: 409xx00
Error Message: "Conflict"</t>
  </si>
  <si>
    <t>Balance Inquiry</t>
  </si>
  <si>
    <t>14,12</t>
  </si>
  <si>
    <r>
      <rPr>
        <rFont val="Arial"/>
        <b/>
        <color theme="1"/>
        <sz val="12.0"/>
      </rPr>
      <t xml:space="preserve">Melakukan pengecekan perubahan nama field </t>
    </r>
    <r>
      <rPr>
        <rFont val="Arial"/>
        <color theme="1"/>
        <sz val="12.0"/>
      </rPr>
      <t xml:space="preserve">
- Klik menu Notaris
- Klik sub-menu Payment
- Pilih Payment
- </t>
    </r>
    <r>
      <rPr>
        <rFont val="Arial"/>
        <b/>
        <color theme="1"/>
        <sz val="12.0"/>
      </rPr>
      <t>Cek perubahan field Biaya Titipan Notaris, Fee Notaris, dan Sisa</t>
    </r>
  </si>
  <si>
    <t>1.6</t>
  </si>
  <si>
    <t>Perubahan field berhasil pada ‘Biaya Notaris’ diubah menjadi ‘Biaya Titipan Notaris’, ‘Titipan Notaris’ diubah menjadi ‘Fee Notaris’, dan ‘Dana Titipan’ diubah menjadi ‘Sisa’.</t>
  </si>
  <si>
    <t>3,5 Inquiry Saldo Utama (IDR and/or USD, etc) (termasuk saldo lainnya)</t>
  </si>
  <si>
    <t>Response Code: 2001100
Response Message: "success"</t>
  </si>
  <si>
    <t>14,13</t>
  </si>
  <si>
    <t>1.7</t>
  </si>
  <si>
    <t>3,6 Inquiry Saldo lebih dari 1 account</t>
  </si>
  <si>
    <r>
      <rPr>
        <rFont val="Arial"/>
        <b/>
        <color theme="1"/>
        <sz val="12.0"/>
      </rPr>
      <t>Melakukan pengecekan penambahan field 'Fee Bank'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</si>
  <si>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'Fee bank' list detail payment </t>
  </si>
  <si>
    <t>Belum dites</t>
  </si>
  <si>
    <t>1.8</t>
  </si>
  <si>
    <t>3,7 Inquiry Saldo account yang sudah tutup</t>
  </si>
  <si>
    <t>Error Code: 4031118
Error Message: "Account Inactive"</t>
  </si>
  <si>
    <t>14,14</t>
  </si>
  <si>
    <t>1.9</t>
  </si>
  <si>
    <t>3,8 Invalid Access Token Scope</t>
  </si>
  <si>
    <t>Error Code: 4011100
Error Message: "Invalid Access Token Scope"</t>
  </si>
  <si>
    <r>
      <rPr>
        <rFont val="Arial"/>
        <b/>
        <color theme="1"/>
        <sz val="12.0"/>
      </rPr>
      <t xml:space="preserve"> Melakukan pengecekan perubahan rumusan nominal field 'Total Pembayaran'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</si>
  <si>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Berhasil menampilkan Field ‘Total Pembayaran’ yang rumusan datanya berubah menjadi nominal dari perhitungan Biaya Perjasa + Fee Bank</t>
  </si>
  <si>
    <t>1.10</t>
  </si>
  <si>
    <t>3,9 Account Frozen/Abnormal</t>
  </si>
  <si>
    <t>Error Code: 4031105
Error Message: "Account Frozen/Abnormal"</t>
  </si>
  <si>
    <t>Verifikasi Payment</t>
  </si>
  <si>
    <t>16,6</t>
  </si>
  <si>
    <t>1.11</t>
  </si>
  <si>
    <r>
      <rPr>
        <rFont val="Arial"/>
        <b/>
        <color theme="1"/>
        <sz val="12.0"/>
      </rPr>
      <t xml:space="preserve">Melakukan pengecekan penyesuaian mapping template generate OP
</t>
    </r>
    <r>
      <rPr>
        <rFont val="Arial"/>
        <color theme="1"/>
        <sz val="12.0"/>
      </rPr>
      <t>- Klik menu Notaris
- Klik sub-menu Payment
- Pilih Verifikasi Payment
- Cek dokumen hasil Generate OP yang sudah berhasil di download</t>
    </r>
  </si>
  <si>
    <t>3,10 B2B2C Access Token Invalid</t>
  </si>
  <si>
    <t>Error Code: 4011101
Error Message: "Access Token Invalid"</t>
  </si>
  <si>
    <t>Berhasil menampilkan mapping kolom ‘Kode Cabang’, ‘No. Customer’, ‘Tgl. Settlement’, ‘Nominal’, ‘Sisa Settlement’</t>
  </si>
  <si>
    <t>API Transaction History List</t>
  </si>
  <si>
    <t>cek Data</t>
  </si>
  <si>
    <t>Track List Payment</t>
  </si>
  <si>
    <t>18,1</t>
  </si>
  <si>
    <t>2.1</t>
  </si>
  <si>
    <t>4,1 Access Token Invalid</t>
  </si>
  <si>
    <r>
      <rPr>
        <rFont val="Arial"/>
        <b/>
        <color theme="1"/>
        <sz val="12.0"/>
      </rPr>
      <t>Track List Payment &gt; Payment detail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</si>
  <si>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</t>
  </si>
  <si>
    <t>Note : Jika Aging/hari lebih dari 7 hari kerja, mohon ditandai warna kuning</t>
  </si>
  <si>
    <t>2.2</t>
  </si>
  <si>
    <t>4,2 Unauthorized . Signature</t>
  </si>
  <si>
    <t>18,2</t>
  </si>
  <si>
    <r>
      <rPr>
        <rFont val="Arial"/>
        <b/>
        <color theme="1"/>
        <sz val="12.0"/>
      </rPr>
      <t xml:space="preserve">Track List Payment &gt; Termin
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</si>
  <si>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 detail termin</t>
  </si>
  <si>
    <t>2.3</t>
  </si>
  <si>
    <t>4,3 Missing Mandatory Field {} …, etc</t>
  </si>
  <si>
    <t>19.2</t>
  </si>
  <si>
    <t>2.4</t>
  </si>
  <si>
    <t>4,4 Invalid Field Format {} .., etc</t>
  </si>
  <si>
    <r>
      <rPr>
        <rFont val="Arial"/>
        <b/>
        <color theme="1"/>
        <sz val="12.0"/>
      </rPr>
      <t xml:space="preserve">Rekap Payment Notaris &gt; Export excel
</t>
    </r>
    <r>
      <rPr>
        <rFont val="Arial"/>
        <b val="0"/>
        <color theme="1"/>
        <sz val="12.0"/>
      </rPr>
      <t>- Klik menu report
- Klik sub menu report Rekap Payment Notaris
- Filter report berdasarkan tanggal/periode
- Pastikan data yang ditampilkan sesuai dengan filter
- Lakukan export report
- Pastikan hasil export sesuai dengan filter (format xls)</t>
    </r>
  </si>
  <si>
    <t>2.5</t>
  </si>
  <si>
    <t>4,5 Cannot use the same X-EXTERNAL-ID</t>
  </si>
  <si>
    <t>Berhasil export dan field terisi</t>
  </si>
  <si>
    <t>Transaction History List</t>
  </si>
  <si>
    <t>2.6</t>
  </si>
  <si>
    <t>4,6 Sukses menampilkan daftar transaksi yang terjadi dalam kurun waktu tertentu</t>
  </si>
  <si>
    <t>Response Code: 2001200
Response Message: "success"</t>
  </si>
  <si>
    <t>20.2</t>
  </si>
  <si>
    <t>2.7</t>
  </si>
  <si>
    <t>4,7 Mengakses daftar transaksi account yang sudah tutup</t>
  </si>
  <si>
    <t>Error Code: 4031218
Error Message: "Inactive Account"</t>
  </si>
  <si>
    <r>
      <rPr>
        <rFont val="Arial"/>
        <b/>
        <color theme="1"/>
        <sz val="12.0"/>
      </rPr>
      <t>Biaya Titipan Notaris &gt; Export excel</t>
    </r>
    <r>
      <rPr>
        <rFont val="Arial"/>
        <color theme="1"/>
        <sz val="12.0"/>
      </rPr>
      <t xml:space="preserve">
- Klik menu Monitoring
- Klik sub menu Biaya Titipan Notaris
- Filter
- Pastikan data yang ditampilkan sesuai dengan filter
- Lakukan export report
- Pastikan hasil export sesuai dengan filter (format xls)
</t>
    </r>
  </si>
  <si>
    <t>2.8</t>
  </si>
  <si>
    <t>4,8 B2B2C Access Token Invalid</t>
  </si>
  <si>
    <t>Error Code: 4011201
Error Message: "Access Token Invalid"</t>
  </si>
  <si>
    <t>QR MPM</t>
  </si>
  <si>
    <t>Total Script</t>
  </si>
  <si>
    <t>3.1</t>
  </si>
  <si>
    <t>18,1 Access Token Invalid</t>
  </si>
  <si>
    <t>https://ob-sandbox.banksampoerna.co.id/snap-qris/v1.1/qr/qr-mpm-generate
Header Request:
Content-Type: application/json
X-TIMESTAMP: 2026-10-06T14:12:21+07:00
X-SIGNATURE: 1bZXOXxg10Fk1ooFXQLLtMo37Wg9ev5yqPHP5xlr/hIox4NfrmT/Fgj5U//J7iK+jkRX1cVqMySAS5VkKNfG5A==
X-EXTERNAL-ID: 0078197019
X-PARTNER-ID: CASHUPDEV
CHANNEL-ID: CASHUPDEV
Authorization: Bearer 8KWflfCkm4zwq56J57i277qj55mY8Kijgu+nmuKrivCmuJDrupU=
Request Body: 
{"partnerReferenceNo":"0078197019","merchantId":"9360052300000003848","terminalId":"A01","validityPeriod":"2026-10-06","amount":{"value":"10000.00","currency":"IDR"},"additionalInfo":{"billNumber":"064024"}}
Response Body:
{"responseCode":"4014701","responseMessage":"Invalid token (B2B)"}</t>
  </si>
  <si>
    <t>3.2</t>
  </si>
  <si>
    <t>18,2 Unauthorized . Signature</t>
  </si>
  <si>
    <t>URL Endpoint:
https://ob-sandbox.banksampoerna.co.id/snap-qris/v1.1/qr/qr-mpm-generate
Header Request:
Content-Type: application/json
X-TIMESTAMP: 2026-10-06T14:00:21+07:00
X-SIGNATURE: HaL/wFbvd/2mRLLvELRSS92lUopMNHBeymMYDGftoz6dYld7cDSHm9mAYFnEvpC3Ip+UFpBMy5xZwU8xzmFDDw==
X-EXTERNAL-ID: 0078197011
X-PARTNER-ID: CASHUPDEV
CHANNEL-ID: CASHUPDEV
Authorization: Bearer 8KWflfCkm4zwq56J57i277qj55mY8Kijgu+nmuKrivCmuJDrupU
Request Body: 
{"partnerReferenceNo":"0078197011","merchantId":"9360052300000003848","terminalId":"A01","validityPeriod":"2026-10-06T15:00:00+07:00","amount":{"value":"10000.00","currency":"IDR"},"additionalInfo":{"billNumber":"064021"}}
Response Body:
{"responseCode":"4014700","responseMessage":"Unauthorized (Invalid Signature)"}</t>
  </si>
  <si>
    <t>3.3</t>
  </si>
  <si>
    <t>18,3 Missing Mandatory Field {} …, etc</t>
  </si>
  <si>
    <t>URL Endpoint:
https://ob-sandbox.banksampoerna.co.id/snap-qris/v1.1/qr/qr-mpm-generate
Header Request:
Content-Type: application/json
X-TIMESTAMP: 2026-10-06T14:08:21+07:00
X-SIGNATURE: Ra4O1Onp/uCWsiyXzQtFsVI7WEDNHsnVne8Pf67a8wMXfAurkpvLW14NdR2MIGgjlT3yDRahTblhjpmtarCcKw==
X-EXTERNAL-ID: 0078197013
X-PARTNER-ID: CASHUPDEV
CHANNEL-ID: CASHUPDEV
Authorization: Bearer 8KWflfCkm4zwq56J57i277qj55mY8Kijgu+nmuKrivCmuJDrupU=
Request Body: 
{"partnerReferenceNo":"0078197013","terminalId":"A01","validityPeriod":"2026-10-06T15:00:00+07:00","amount":{"value":"10000.00","currency":"IDR"},"additionalInfo":{"billNumber":"064021"}}
Response Body:
{"responseCode":"4004702","responseMessage":"Invalid Mandatory Field merchantId"}</t>
  </si>
  <si>
    <t>3.4</t>
  </si>
  <si>
    <t>18,4 Invalid Field Format {} .., etc</t>
  </si>
  <si>
    <t>Total Progress</t>
  </si>
  <si>
    <t>URL Endpoint:
https://ob-sandbox.banksampoerna.co.id/snap-qris/v1.1/qr/qr-mpm-generate
Header Request:
Content-Type: application/json
X-TIMESTAMP: 2026-10-06T14:17:21+07:00
X-SIGNATURE: cZO6sISOHd8W4lZuzSkSBFK+rrmcByjsUI71ii4cjbBgJnqTDaLqo1Yi/uZvj6u4kVPXGCU6MJ8+gCgtnPJSHA==
X-EXTERNAL-ID: 2124632871
X-PARTNER-ID: CASHUPDEV
CHANNEL-ID: CASHUPDEV
Authorization: Bearer 54Wj7YWO8KGQv+KxseWYh/Cgv5Xwq4qL4qeA8Jagh/ChvafjubA=
Request Body: 
{"partnerReferenceNo":"2124632871","merchantId":"9360052300000003848","terminalId":"A01","validityPeriod":"2026-10-06","amount":{"value":"10000.00","currency":"IDR"},"additionalInfo":{"billNumber":"212463"}}
Response Body:
{"responseCode":"4004701","responseMessage":"Invalid field format validityPeriod","partnerReferenceNo":"2124632871"}</t>
  </si>
  <si>
    <t>3.5</t>
  </si>
  <si>
    <t>18,5 Cannot use the same X-EXTERNAL-ID</t>
  </si>
  <si>
    <t>URL Endpoint:
https://ob-sandbox.banksampoerna.co.id/snap-qris/v1.1/qr/qr-mpm-generate
Header Request:
Content-Type: application/json
X-TIMESTAMP: 2026-10-06T14:17:21+07:00
X-SIGNATURE: x9xXA2Q3zES7xwgso+VRAxE+4Cv2mW2DuNMuY9JHBmOCbLvJ1yEq4I624DVuT2h128KiigGXP100tV4PhzCm9w==
X-EXTERNAL-ID: 2124632872
X-PARTNER-ID: CASHUPDEV
CHANNEL-ID: CASHUPDEV
Authorization: Bearer 54Wj7YWO8KGQv+KxseWYh/Cgv5Xwq4qL4qeA8Jagh/ChvafjubA=
Request Body: 
{"partnerReferenceNo":"2124632872","merchantId":"9360052300000003848","terminalId":"A01","validityPeriod":"2026-10-06T15:30:00+07:00","amount":{"value":"10000.00","currency":"IDR"},"additionalInfo":{"billNumber":"212463"}}
Response Body:
{"responseCode":"4094700","responseMessage":"Conflict"}</t>
  </si>
  <si>
    <t>QR MPM - Generate QR</t>
  </si>
  <si>
    <t>3.6</t>
  </si>
  <si>
    <t>18,6 Show QR Code</t>
  </si>
  <si>
    <t>Response Code: 2004700
Response Message: "success"</t>
  </si>
  <si>
    <t>URL Endpoint:
https://ob-sandbox.banksampoerna.co.id/snap-qris/v1.1/qr/qr-mpm-generate
Header Request:
Content-Type: application/json
X-TIMESTAMP: 2026-10-13T10:21:11+07:00
X-SIGNATURE: uF3EtTlxNBDHpkCgBM+2lk+d0YTqPa6+tFsQTygY7CaEjLXNA8Dw8yY21LlmqNMOinzJhu6BOsSnnAJAovTF4Q==
X-EXTERNAL-ID: 0078197112
X-PARTNER-ID: CASHUPDEV
CHANNEL-ID: CASHUPDEV
Authorization: Bearer 7JaN3Y3oqq/wp7SR8KSvkfChrLfwqrCA6Yyl8KKVjuyDje2Jng==
Request Body: 
{"partnerReferenceNo":"0078197112","merchantId":"9360052300000003848","terminalId":"A01","validityPeriod":"2026-10-13T10:51:56+07:00","amount":{"value":"1234.00","currency":"IDR"},"additionalInfo":{"billNumber":"064014"}}
Response Body:
{"responseCode":"2004700","responseMessage":"Successful","partnerReferenceNo":"0078197112","qrContent":"00020101021226750023ID.CO.BANKSAMPOERNA.WWW01189360052300000003840215ID20260000033660303UKE51450015ID.OR.GPNQR.WWW0215ID20260000033660303UKE520473335303360540412345802ID5918.CASH_UP_MERCHANT.6013JAKARTA PUSAT610510110621701060640140703A016304F0EF","merchantName":".CASH_UP_MERCHANT."}</t>
  </si>
  <si>
    <t>3.7</t>
  </si>
  <si>
    <t>18,7 Invalid Merchant</t>
  </si>
  <si>
    <t>Error Code: 4044708
Error Message: "Invalid Merchant"</t>
  </si>
  <si>
    <t>URL Endpoint:
https://ob-sandbox.banksampoerna.co.id/snap-qris/v1.1/qr/qr-mpm-generate
Header Request:
Content-Type: application/json
X-TIMESTAMP: 2026-10-06T14:20:21+07:00
X-SIGNATURE: mWimBjcUTV9bA4E4+uapyyKO74vF0zy00jA30ILsI0KCZQruYIyD0DyyPUpv0V1uvTtOj8FYfFIp7+vv3alWUQ==
X-EXTERNAL-ID: 2124632873
X-PARTNER-ID: CASHUPDEV
CHANNEL-ID: CASHUPDEV
Authorization: Bearer 54Wj7YWO8KGQv+KxseWYh/Cgv5Xwq4qL4qeA8Jagh/ChvafjubA=
Request Body: 
{"partnerReferenceNo":"2124632873","merchantId":"9360052300000003841","terminalId":"A01","validityPeriod":"2026-10-06T15:30:00+07:00","amount":{"value":"10000.00","currency":"IDR"},"additionalInfo":{"billNumber":"212464"}}
Response Body:
{"responseCode":"4044708","responseMessage":"Invalid Merchant (Not Found)","partnerReferenceNo":"2124632873"}</t>
  </si>
  <si>
    <t>QR MPM - Decode QR</t>
  </si>
  <si>
    <t>3.8</t>
  </si>
  <si>
    <t>18,8 Parsing Payload QR Code</t>
  </si>
  <si>
    <t>Response Code: 2004800
Response Message: "success"</t>
  </si>
  <si>
    <t>tidak ditest, tidak sesuai dengan kondisi produk</t>
  </si>
  <si>
    <t>3.9</t>
  </si>
  <si>
    <t>18,9 QR Code Payload Parsing Error</t>
  </si>
  <si>
    <t>Error Code: 4004800
Error Message: "Parsing Error"</t>
  </si>
  <si>
    <t>QR MPM - Payment Redirect</t>
  </si>
  <si>
    <t>3.10</t>
  </si>
  <si>
    <t>18,10 Payment Success</t>
  </si>
  <si>
    <t>Response Code: 2004900
Response Message: "success"</t>
  </si>
  <si>
    <t>3.11</t>
  </si>
  <si>
    <t>18,11 Amount Exceed Limit Reach</t>
  </si>
  <si>
    <t>Error Code: 4034902
Error Message: "Exceeds Amount Limit"</t>
  </si>
  <si>
    <t>QR MPM - Apply OTT</t>
  </si>
  <si>
    <t>3.12</t>
  </si>
  <si>
    <t>18,12 Get Auth Code</t>
  </si>
  <si>
    <t>Response Code: 2001000
Response Message: "success"</t>
  </si>
  <si>
    <t>QR MPM - Payment Host to Host</t>
  </si>
  <si>
    <t>3.13</t>
  </si>
  <si>
    <t>18,13 Payment Success</t>
  </si>
  <si>
    <t>Response Code: 2005000
Response Message: "success"</t>
  </si>
  <si>
    <t>3.14</t>
  </si>
  <si>
    <t>18,14 Amount Exceed Limit Reach</t>
  </si>
  <si>
    <t>Error Code: 4035002
Error Message: "Exceeds Amount Limit"</t>
  </si>
  <si>
    <t>Query Payment</t>
  </si>
  <si>
    <t>3.15</t>
  </si>
  <si>
    <t>Query Successful Transaction
 Field "latestTransactionStatus" diisi dengan value "00"</t>
  </si>
  <si>
    <t>Response Code: 2005100
 Response Message: "Successful"</t>
  </si>
  <si>
    <t>URL Endpoint:
https://ob-sandbox.banksampoerna.co.id/snap-qris/v1.1/qr/qr-mpm-query
Header Request:
Content-Type: application/json
X-TIMESTAMP: 2026-10-06T14:41:58+07:00
X-SIGNATURE: Ye6ZAjg5rEV7eiEfhdfHnyzvKUwlMG+cKKFmn2tpBzp04DNjxkRKnQvcwJXQnAjR3QvHAh8PU7vm02s0bMYeaQ==
X-EXTERNAL-ID: e365e133a8a544578b23d1c8b1aa0241
X-PARTNER-ID: CASHUPDEV
CHANNEL-ID: CASHUPDEV
Authorization: Bearer 5bmy8J2SgPChsrXqi5Xms5fwoJKQ5Jer5oqb6ZK/8Kmfq+Sfo+aruQ==
Request Body: 
{"originalPartnerReferenceNo":"0067329440","merchantId":"9360052300000003848","serviceCode":"47","additionalInfo":{"billNumber":"064015"}}
Response Body:
{"responseCode":"2005100","responseMessage":"Successful","originalPartnerReferenceNo":"0067329440","serviceCode":"47","latestTransactionStatus":"00","paidTime":"2026-10-06T14:41:52+07:00","amount":{"value":"10000.00","currency":"IDR"},"feeAmount":{"value":"0.00","currency":"IDR"},"additionalInfo":{"merchantPan":"9360052300000003848","customerPan":"9360052311023647709","terminalId":"A01","rrn":"710434644054","customerName":"ITDPA","issuerName":"Bank BSS"},"originalReferenceNo":"710434644054"}</t>
  </si>
  <si>
    <t>3.16</t>
  </si>
  <si>
    <t>18,15 Pending Transaction</t>
  </si>
  <si>
    <t>Response Code: 2005100
Response Message: "success"
cek service code : 47</t>
  </si>
  <si>
    <t>URL Endpoint:
https://ob-sandbox.banksampoerna.co.id/snap-qris/v1.1/qr/qr-mpm-query
Header Request:
Content-Type: application/json
X-TIMESTAMP: 2026-10-06T16:05:33+07:00
X-SIGNATURE: db0TL5kGxqRo3aU/tW4YnbYNdlz0J9ZjPhRJQ2M8JfFByxkzBu5fwxmbLlJzGLfjiMusdjLOXXIJaHY+spd6hQ==
X-EXTERNAL-ID: 0488770975
X-PARTNER-ID: CASHUPDEV
CHANNEL-ID: CASHUPDEV
Authorization: Bearer 8KCvk/Cpnq3llrHwkoaH5KSU8JGAkeiKqOmSmvCRga7wobG8
Request Body: 
{"originalPartnerReferenceNo":"0488770901","merchantId":"9360052300000003848","serviceCode":"47","additionalInfo":{"billNumber":"048801"}}
Response Body:
{"responseCode":"2005100","responseMessage":"Successful","originalPartnerReferenceNo":"0488770901","serviceCode":"47","latestTransactionStatus":"03","paidTime":"2026-10-06T16:14:11+07:00","amount":{"value":"50068.00","currency":"IDR"},"feeAmount":{"value":"0.00","currency":"IDR"},"additionalInfo":{"merchantPan":"9360052300000003848","customerPan":"9360091281336100150","terminalId":"A01","rrn":"BSS000189762","customerName":"Luna Sara","issuerName":"OVO"},"originalReferenceNo":"BSS000189762"}</t>
  </si>
  <si>
    <t>3.17</t>
  </si>
  <si>
    <t>18,16 Transaction Not Found</t>
  </si>
  <si>
    <t>Response Code: 4045101
Response Message: "Transaction Not Found"
cek service code : 47</t>
  </si>
  <si>
    <t>URL Endpoint:
https://ob-sandbox.banksampoerna.co.id/snap-qris/v1.1/qr/qr-mpm-query
Header Request:
Content-Type: application/json
X-TIMESTAMP: 2026-10-06T14:27:21+07:00
X-SIGNATURE: fCYD13dGtcCrVzqMOS3o2UhVzk71hCqeZAVGyhiaEiN2bfcYFp8woaA2swYgnTHPKWUMnIVmL1JDT8H5Q0rXig==
X-EXTERNAL-ID: 0078197084
X-PARTNER-ID: CASHUPDEV
CHANNEL-ID: CASHUPDEV
Authorization: Bearer 7ZSX8Ki9uOuttOO0kfCjuL7ZgeenheKelvCpkKnwp5a98JGEsg==
Request Body: 
{"originalPartnerReferenceNo":"2124632871","merchantId":"9360052300000003848","serviceCode":"47","additionalInfo":{"billNumber":"212461"}}
Response Body:
{"responseCode":"4045101","responseMessage":"Transaction not found","originalPartnerReferenceNo":"2124632871","serviceCode":"47","additionalInfo":{}}</t>
  </si>
  <si>
    <t>Payment Notify</t>
  </si>
  <si>
    <t>3.18</t>
  </si>
  <si>
    <t>18,17 Notify Success</t>
  </si>
  <si>
    <t>Response Code: 2005200
Response Message: "success"</t>
  </si>
  <si>
    <t>URL Endpoint:
https://tucanos-uat.cashup.id/MmListenerBssQrisSnap/v1.0/qr/qr-mpm-notify
Header Request:
Content-Type: application/json
X-TIMESTAMP: 2026-10-08T13:54:06+07:00
X-SIGNATURE: CJX2RriURP701JZv0DRNn1nyN2QzE1vitGms1QgcdePgZIUKiJERdj87sKyHeGQZAeJ2ci4ivDuTDxAxIK0+wg==
X-EXTERNAL-ID: 0488770975
X-PARTNER-ID: CASHUPDEV
CHANNEL-ID: QRIS
Authorization: Bearer eyJhbGciOiJIUzI1NiIsInR5cCI6IkpXVCJ9.eyJpc3MiOiJDQVNIVVBERVYiLCJzdWIiOiJDQVNIVVBERVYiLCJqdGkiOiJmOGU4YWE4Ny1iMGQ1LTQ4OTktODZlZC0yMWY5NTM2ODIzODQiLCJpYXQiOjE3OTE0NDI0NDYsImV4cCI6MTc5MTQ0MzM0Nn0.PfIz93DYTrwZXhrlwqV-NDEgj0Uwz-87V3D3ZpXFVK0
Request Body: 
{"originalReferenceNo":"313654226360","originalPartnerReferenceNo":"0061196164","latestTransactionStatus":"00","amount":{"value":"12000.00","currency":"IDR"},"additionalInfo":{"billNumber":"064020","merchantPan":"9360052300000003848","customerPan":"9360052311023647709","terminalId":"A01","customerName":"ITDPA","issuerName":"Bank BSS","transactionDate":"2026-10-08T13:54:04+07:00","feeAmount":{"value":"0.00","currency":"IDR"}}}
Response Body:
{"responseCode":"2005200","responseMessage":"Successful"}</t>
  </si>
  <si>
    <t>3.19</t>
  </si>
  <si>
    <t>18,18 Notify Failed</t>
  </si>
  <si>
    <t>Refund Payment</t>
  </si>
  <si>
    <t>3.20</t>
  </si>
  <si>
    <t>18,22 Refund Success</t>
  </si>
  <si>
    <t>Response Code: 2007800
Response Message: "Successful"</t>
  </si>
  <si>
    <t>URL Endpoint:
https://ob-sandbox.banksampoerna.co.id/snap-qris/v1.1/qr/qr-mpm-refund
Header Request:
Content-Type: application/json
X-TIMESTAMP: 2026-10-12T13:16:44+07:00
X-SIGNATURE: OH9+F11k5+uPGAW9NeGp/lvDwdDQax0vq38+lCNTP1oFVtMuVnmrkaarfWN8Nae1xDm/CPcLY6rk9Lah+O4bxg==
X-EXTERNAL-ID: f6294df3bf274d48ac5f57dc67e53b91
X-PARTNER-ID: CASHUPDEV
CHANNEL-ID: CASHUPDEV
Authorization: Bearer 4ra26aqU546S7Jen8Ka8pvCmuZXwkLCX8KWQmeCoh/CospPnm6w=
Request Body: 
{"originalPartnerReferenceNo":"0069337332","originalReferenceNo":"369510303723","partnerRefundNo":"RFD34e7090e3f8b422cb5","additionalInfo":{"originalTransactionDate":"2026-10-12T13:16:14+07:00"}}
Response Body:
{"responseCode":"2007800","responseMessage":"Successful","referenceNo":"BSS002289632","originalPartnerReferenceNo":"0069337332","originalReferenceNo":"369510303723","partnerRefundNo":"RFD34e7090e3f8b422cb5","refundTime":"2026-10-12T13:16:40+07:00","refundAmount":{"value":"47000.00","currency":"IDR"},"refundNo":"BSS002289632"}</t>
  </si>
  <si>
    <t>3.21</t>
  </si>
  <si>
    <t>18,23 Refund In Progress</t>
  </si>
  <si>
    <t>Response Code: 2027800
Response Message: "Request In Progress"</t>
  </si>
  <si>
    <t>PENGECEKAN MUTASI DAN JURNAL</t>
  </si>
  <si>
    <t>Transkasi QRIS sukses</t>
  </si>
  <si>
    <t>4.1</t>
  </si>
  <si>
    <t>Melakukan transaksi  QRIS  sukses</t>
  </si>
  <si>
    <t>Berhasil melakukan transaksi sesuai</t>
  </si>
  <si>
    <t>BSS</t>
  </si>
  <si>
    <t>4.2</t>
  </si>
  <si>
    <t>Melakukan  pengecekan mutasi dan jurnal</t>
  </si>
  <si>
    <t>Berhasil melakukan mutasi dan jurnal sesuai</t>
  </si>
  <si>
    <t xml:space="preserve">Generate QR SNAP </t>
  </si>
  <si>
    <t>5.1</t>
  </si>
  <si>
    <t>Generate dan melakukan transaksi issuer BSS</t>
  </si>
  <si>
    <t>Transaksi berhasil &amp; menerima notifikasi</t>
  </si>
  <si>
    <t>5.2</t>
  </si>
  <si>
    <t>5.3</t>
  </si>
  <si>
    <t>Generate dan melakukan transaksi issuer bank lain</t>
  </si>
  <si>
    <t>5.4</t>
  </si>
  <si>
    <t>5.5</t>
  </si>
  <si>
    <t>Generate dan melakukan transaksi dengan kategori merchant berbeda UMI/UKE/dll</t>
  </si>
  <si>
    <t>5.6</t>
  </si>
  <si>
    <t>6.1</t>
  </si>
  <si>
    <t>Melakukan refund transaksi issuer BSS</t>
  </si>
  <si>
    <t>Berhasil melakukan refund</t>
  </si>
  <si>
    <t>6.2</t>
  </si>
  <si>
    <t>6.3</t>
  </si>
  <si>
    <t>Melakukan refund transaksi issuer bank lain</t>
  </si>
  <si>
    <t>6.4</t>
  </si>
  <si>
    <t>7.1</t>
  </si>
  <si>
    <t xml:space="preserve">Melakukan cek status QR </t>
  </si>
  <si>
    <t>Berhasil melakukan cek status QR</t>
  </si>
  <si>
    <t>Inquiry Saldo</t>
  </si>
  <si>
    <t>8.1</t>
  </si>
  <si>
    <t xml:space="preserve">Melakukan inquiry saldo rek master </t>
  </si>
  <si>
    <t>Berhasil menampilkan saldo terakhir rek master</t>
  </si>
  <si>
    <t>Inquiry History Transaksi</t>
  </si>
  <si>
    <t>9.1</t>
  </si>
  <si>
    <t>Melakukan inquiry history transaksi</t>
  </si>
  <si>
    <t>Berhasil menampilkan list transaksi</t>
  </si>
  <si>
    <t>Report</t>
  </si>
  <si>
    <t>10.1</t>
  </si>
  <si>
    <t>Report SFTP 
 - Laporan TrxMerchant 
 - Laporan MutasiRekening 
 - Laporan MerchantAggregator</t>
  </si>
  <si>
    <t>Report Sesuai</t>
  </si>
  <si>
    <t>KET :</t>
  </si>
  <si>
    <t>Berhasil : Jika sesuai dengan hasil yang diharapkan</t>
  </si>
  <si>
    <t>Gagal : Jika tidak sesuai dengan hasil yang harapkan</t>
  </si>
  <si>
    <t>Siap dites : Jika terdapat update fixing dari vendor terkait bug</t>
  </si>
  <si>
    <t>Tidak dites : Jika diluar scope BRD/FSD dan juga tidak ada alat atau sistem pendukungnya</t>
  </si>
  <si>
    <t>Belum dites : Jika script belum saat dan waktunya dites</t>
  </si>
  <si>
    <t>Butuh Konfirmasi : Jika dalam melakukan pengetesan butuh konfirmasi user, vendor/programmer</t>
  </si>
  <si>
    <r>
      <rPr>
        <rFont val="Calibri"/>
        <b/>
        <i/>
        <color theme="1"/>
        <sz val="22.0"/>
      </rPr>
      <t xml:space="preserve">Pengembangan dan Pengadaan Teknologi Informasi 
User Acceptance Test Issue
</t>
    </r>
    <r>
      <rPr>
        <rFont val="Calibri"/>
        <b/>
        <i val="0"/>
        <color rgb="FF00B0F0"/>
        <sz val="22.0"/>
      </rPr>
      <t>&lt;Penambahan Layanan QRIS Merchant Aggregator&gt;</t>
    </r>
  </si>
  <si>
    <t>Remark</t>
  </si>
  <si>
    <t>Tanggal</t>
  </si>
  <si>
    <t>Jam</t>
  </si>
  <si>
    <t>Peserta</t>
  </si>
  <si>
    <t>PUK</t>
  </si>
  <si>
    <t>Unit Kerja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</si>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</sst>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#,##0;[Red]#,##0"/>
    <numFmt numFmtId="166" formatCode="d\-mmm\-yy"/>
    <numFmt numFmtId="167" formatCode="d&quot; &quot;mmm&quot; &quot;yyyy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.0"/>
      <color theme="1"/>
      <name val="Calibri"/>
    </font>
    <font>
      <b/>
      <sz val="18.0"/>
      <color theme="1"/>
      <name val="Calibri"/>
    </font>
    <font/>
    <font>
      <b/>
      <sz val="14.0"/>
      <color theme="1"/>
      <name val="Calibri"/>
    </font>
    <font>
      <b/>
      <i/>
      <sz val="20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22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b/>
      <i/>
      <sz val="13.0"/>
      <color theme="1"/>
      <name val="Calibri"/>
    </font>
    <font>
      <sz val="12.0"/>
      <color rgb="FF000000"/>
      <name val="Arial"/>
    </font>
    <font>
      <sz val="11.0"/>
      <color theme="1"/>
      <name val="Cambria"/>
    </font>
    <font>
      <b/>
      <sz val="12.0"/>
      <color theme="1"/>
      <name val="Arial"/>
    </font>
    <font>
      <b/>
      <i/>
      <sz val="12.0"/>
      <color theme="1"/>
      <name val="Arial"/>
    </font>
    <font>
      <b/>
      <sz val="11.0"/>
      <color theme="1"/>
      <name val="Cambria"/>
    </font>
    <font>
      <sz val="12.0"/>
      <color theme="1"/>
      <name val="Cambria"/>
    </font>
    <font>
      <sz val="11.0"/>
      <color rgb="FF000000"/>
      <name val="Cambria"/>
    </font>
    <font>
      <sz val="8.0"/>
      <color rgb="FF000000"/>
      <name val="Calibri"/>
    </font>
    <font>
      <sz val="11.0"/>
      <color rgb="FF000000"/>
      <name val="Calibri"/>
    </font>
    <font>
      <sz val="10.0"/>
      <color theme="1"/>
      <name val="Calibri"/>
    </font>
    <font>
      <b/>
      <i/>
      <sz val="22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DEEAF6"/>
        <bgColor rgb="FFDEEAF6"/>
      </patternFill>
    </fill>
    <fill>
      <patternFill patternType="solid">
        <fgColor rgb="FFCCFFCC"/>
        <bgColor rgb="FFCCFFCC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FFFF00"/>
        <bgColor rgb="FFFFFF00"/>
      </patternFill>
    </fill>
    <fill>
      <patternFill patternType="solid">
        <fgColor rgb="FF00FF99"/>
        <bgColor rgb="FF00FF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9999"/>
        <bgColor rgb="FFFF9999"/>
      </patternFill>
    </fill>
    <fill>
      <patternFill patternType="solid">
        <fgColor rgb="FFCC99FF"/>
        <bgColor rgb="FFCC99FF"/>
      </patternFill>
    </fill>
    <fill>
      <patternFill patternType="solid">
        <fgColor rgb="FFBFBFBF"/>
        <bgColor rgb="FFBFBFBF"/>
      </patternFill>
    </fill>
    <fill>
      <patternFill patternType="solid">
        <fgColor rgb="FFF7CAAC"/>
        <bgColor rgb="FFF7CAAC"/>
      </patternFill>
    </fill>
  </fills>
  <borders count="44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</border>
    <border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/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</border>
    <border>
      <right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/>
      <bottom/>
    </border>
    <border>
      <top style="medium">
        <color rgb="FF000000"/>
      </top>
    </border>
    <border>
      <bottom/>
    </border>
    <border>
      <right style="medium">
        <color rgb="FF000000"/>
      </right>
      <top style="medium">
        <color rgb="FF000000"/>
      </top>
    </border>
    <border>
      <right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/>
      <top style="thin">
        <color rgb="FF7F7F7F"/>
      </top>
      <bottom/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vertical="center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3" fillId="0" fontId="1" numFmtId="0" xfId="0" applyBorder="1" applyFont="1"/>
    <xf borderId="0" fillId="0" fontId="2" numFmtId="0" xfId="0" applyAlignment="1" applyFont="1">
      <alignment vertical="center"/>
    </xf>
    <xf borderId="4" fillId="0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0" fillId="0" fontId="2" numFmtId="164" xfId="0" applyAlignment="1" applyFont="1" applyNumberFormat="1">
      <alignment vertical="center"/>
    </xf>
    <xf borderId="8" fillId="0" fontId="6" numFmtId="0" xfId="0" applyAlignment="1" applyBorder="1" applyFont="1">
      <alignment horizontal="center" shrinkToFit="0" vertical="center" wrapText="1"/>
    </xf>
    <xf borderId="0" fillId="0" fontId="2" numFmtId="2" xfId="0" applyAlignment="1" applyFont="1" applyNumberFormat="1">
      <alignment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2" numFmtId="0" xfId="0" applyAlignment="1" applyFont="1">
      <alignment horizontal="left" vertical="center"/>
    </xf>
    <xf borderId="1" fillId="2" fontId="1" numFmtId="0" xfId="0" applyAlignment="1" applyBorder="1" applyFill="1" applyFont="1">
      <alignment vertical="center"/>
    </xf>
    <xf borderId="11" fillId="0" fontId="1" numFmtId="0" xfId="0" applyBorder="1" applyFont="1"/>
    <xf borderId="2" fillId="0" fontId="8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4" fillId="0" fontId="5" numFmtId="0" xfId="0" applyBorder="1" applyFont="1"/>
    <xf borderId="13" fillId="0" fontId="5" numFmtId="0" xfId="0" applyBorder="1" applyFont="1"/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vertical="center" wrapText="1"/>
    </xf>
    <xf borderId="14" fillId="0" fontId="5" numFmtId="0" xfId="0" applyBorder="1" applyFont="1"/>
    <xf borderId="12" fillId="0" fontId="5" numFmtId="0" xfId="0" applyBorder="1" applyFont="1"/>
    <xf borderId="15" fillId="3" fontId="9" numFmtId="0" xfId="0" applyAlignment="1" applyBorder="1" applyFill="1" applyFont="1">
      <alignment horizontal="left" shrinkToFit="0" vertical="center" wrapText="1"/>
    </xf>
    <xf borderId="16" fillId="0" fontId="9" numFmtId="0" xfId="0" applyAlignment="1" applyBorder="1" applyFont="1">
      <alignment shrinkToFit="0" vertical="center" wrapText="1"/>
    </xf>
    <xf borderId="17" fillId="3" fontId="9" numFmtId="0" xfId="0" applyAlignment="1" applyBorder="1" applyFill="1" applyFont="1">
      <alignment horizontal="left" shrinkToFit="0" vertical="center" wrapText="1"/>
    </xf>
    <xf borderId="18" fillId="4" fontId="10" numFmtId="0" xfId="0" applyAlignment="1" applyBorder="1" applyFill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17" fillId="0" fontId="2" numFmtId="0" xfId="0" applyAlignment="1" applyBorder="1" applyFont="1">
      <alignment horizontal="center" shrinkToFit="0" vertical="center" wrapText="1"/>
    </xf>
    <xf borderId="21" fillId="0" fontId="5" numFmtId="0" xfId="0" applyBorder="1" applyFont="1"/>
    <xf borderId="17" fillId="0" fontId="8" numFmtId="0" xfId="0" applyAlignment="1" applyBorder="1" applyFont="1">
      <alignment horizontal="center" vertical="center"/>
    </xf>
    <xf borderId="22" fillId="0" fontId="5" numFmtId="0" xfId="0" applyBorder="1" applyFont="1"/>
    <xf borderId="17" fillId="0" fontId="9" numFmtId="0" xfId="0" applyAlignment="1" applyBorder="1" applyFont="1">
      <alignment horizontal="center" shrinkToFit="0" wrapText="1"/>
    </xf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1" fillId="2" fontId="11" numFmtId="0" xfId="0" applyAlignment="1" applyBorder="1" applyFill="1" applyFont="1">
      <alignment shrinkToFit="0" vertical="center" wrapText="1"/>
    </xf>
    <xf borderId="26" fillId="0" fontId="5" numFmtId="0" xfId="0" applyBorder="1" applyFont="1"/>
    <xf borderId="2" fillId="0" fontId="9" numFmtId="0" xfId="0" applyAlignment="1" applyBorder="1" applyFont="1">
      <alignment horizontal="center" shrinkToFit="0" wrapText="1"/>
    </xf>
    <xf borderId="1" fillId="2" fontId="12" numFmtId="0" xfId="0" applyAlignment="1" applyBorder="1" applyFill="1" applyFont="1">
      <alignment shrinkToFit="0" vertical="center" wrapText="1"/>
    </xf>
    <xf borderId="27" fillId="0" fontId="5" numFmtId="0" xfId="0" applyBorder="1" applyFont="1"/>
    <xf borderId="0" fillId="0" fontId="10" numFmtId="0" xfId="0" applyAlignment="1" applyFont="1">
      <alignment horizontal="center" vertical="center"/>
    </xf>
    <xf borderId="17" fillId="3" fontId="9" numFmtId="0" xfId="0" applyAlignment="1" applyBorder="1" applyFill="1" applyFont="1">
      <alignment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1" fillId="2" fontId="6" numFmtId="0" xfId="0" applyAlignment="1" applyBorder="1" applyFill="1" applyFont="1">
      <alignment horizontal="left" shrinkToFit="0" vertical="center" wrapText="1"/>
    </xf>
    <xf borderId="16" fillId="2" fontId="9" numFmtId="0" xfId="0" applyAlignment="1" applyBorder="1" applyFill="1" applyFont="1">
      <alignment horizontal="left" shrinkToFit="0" vertical="center" wrapText="1"/>
    </xf>
    <xf borderId="28" fillId="3" fontId="14" numFmtId="0" xfId="0" applyAlignment="1" applyBorder="1" applyFill="1" applyFont="1">
      <alignment horizontal="left" shrinkToFit="0" vertical="center" wrapText="1"/>
    </xf>
    <xf borderId="29" fillId="0" fontId="5" numFmtId="0" xfId="0" applyBorder="1" applyFont="1"/>
    <xf borderId="16" fillId="5" fontId="1" numFmtId="0" xfId="0" applyBorder="1" applyFill="1" applyFont="1"/>
    <xf borderId="30" fillId="0" fontId="5" numFmtId="0" xfId="0" applyBorder="1" applyFont="1"/>
    <xf borderId="27" fillId="0" fontId="9" numFmtId="0" xfId="0" applyAlignment="1" applyBorder="1" applyFont="1">
      <alignment horizontal="center" shrinkToFit="0" wrapText="1"/>
    </xf>
    <xf borderId="28" fillId="0" fontId="14" numFmtId="0" xfId="0" applyAlignment="1" applyBorder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vertical="center"/>
    </xf>
    <xf borderId="0" fillId="0" fontId="14" numFmtId="0" xfId="0" applyAlignment="1" applyFont="1">
      <alignment shrinkToFit="0" vertical="center" wrapText="1"/>
    </xf>
    <xf borderId="16" fillId="0" fontId="2" numFmtId="15" xfId="0" applyAlignment="1" applyBorder="1" applyFont="1" applyNumberFormat="1">
      <alignment shrinkToFit="0" vertical="center" wrapText="1"/>
    </xf>
    <xf borderId="0" fillId="0" fontId="2" numFmtId="0" xfId="0" applyAlignment="1" applyFont="1">
      <alignment horizontal="center" shrinkToFit="0" wrapText="1"/>
    </xf>
    <xf borderId="16" fillId="6" fontId="14" numFmtId="0" xfId="0" applyAlignment="1" applyBorder="1" applyFill="1" applyFont="1">
      <alignment horizontal="center" shrinkToFit="0" vertical="center" wrapText="1"/>
    </xf>
    <xf borderId="28" fillId="0" fontId="13" numFmtId="0" xfId="0" applyAlignment="1" applyBorder="1" applyFont="1">
      <alignment horizontal="left" vertical="center"/>
    </xf>
    <xf borderId="1" fillId="2" fontId="1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8" fillId="0" fontId="13" numFmtId="164" xfId="0" applyAlignment="1" applyBorder="1" applyFont="1" applyNumberFormat="1">
      <alignment horizontal="left" shrinkToFit="0" vertical="center" wrapText="1"/>
    </xf>
    <xf borderId="16" fillId="5" fontId="8" numFmtId="0" xfId="0" applyAlignment="1" applyBorder="1" applyFill="1" applyFont="1">
      <alignment horizontal="center"/>
    </xf>
    <xf borderId="28" fillId="0" fontId="13" numFmtId="15" xfId="0" applyAlignment="1" applyBorder="1" applyFont="1" applyNumberFormat="1">
      <alignment horizontal="left" shrinkToFit="0" vertical="center" wrapText="1"/>
    </xf>
    <xf borderId="17" fillId="0" fontId="2" numFmtId="0" xfId="0" applyAlignment="1" applyBorder="1" applyFont="1">
      <alignment horizontal="center" shrinkToFit="0" wrapText="1"/>
    </xf>
    <xf borderId="16" fillId="5" fontId="8" numFmtId="10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28" fillId="7" fontId="15" numFmtId="0" xfId="0" applyAlignment="1" applyBorder="1" applyFill="1" applyFont="1">
      <alignment horizontal="left" shrinkToFit="0" vertical="center" wrapText="1"/>
    </xf>
    <xf borderId="0" fillId="0" fontId="1" numFmtId="10" xfId="0" applyFont="1" applyNumberFormat="1"/>
    <xf borderId="0" fillId="0" fontId="13" numFmtId="164" xfId="0" applyAlignment="1" applyFont="1" applyNumberFormat="1">
      <alignment vertical="center"/>
    </xf>
    <xf borderId="31" fillId="0" fontId="5" numFmtId="0" xfId="0" applyBorder="1" applyFont="1"/>
    <xf borderId="0" fillId="0" fontId="13" numFmtId="2" xfId="0" applyAlignment="1" applyFont="1" applyNumberFormat="1">
      <alignment vertical="center"/>
    </xf>
    <xf borderId="0" fillId="0" fontId="13" numFmtId="0" xfId="0" applyAlignment="1" applyFont="1">
      <alignment horizontal="left" vertical="center"/>
    </xf>
    <xf borderId="17" fillId="3" fontId="9" numFmtId="0" xfId="0" applyAlignment="1" applyBorder="1" applyFill="1" applyFont="1">
      <alignment horizontal="center" shrinkToFit="0" vertical="center" wrapText="1"/>
    </xf>
    <xf borderId="32" fillId="7" fontId="9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8" fontId="1" numFmtId="0" xfId="0" applyBorder="1" applyFill="1" applyFont="1"/>
    <xf borderId="33" fillId="3" fontId="14" numFmtId="0" xfId="0" applyAlignment="1" applyBorder="1" applyFill="1" applyFont="1">
      <alignment horizontal="center" shrinkToFit="0" vertical="center" wrapText="1"/>
    </xf>
    <xf borderId="34" fillId="7" fontId="9" numFmtId="0" xfId="0" applyAlignment="1" applyBorder="1" applyFill="1" applyFont="1">
      <alignment shrinkToFit="0" vertical="center" wrapText="1"/>
    </xf>
    <xf borderId="35" fillId="3" fontId="9" numFmtId="0" xfId="0" applyAlignment="1" applyBorder="1" applyFill="1" applyFont="1">
      <alignment horizontal="left" shrinkToFit="0" vertical="center" wrapText="1"/>
    </xf>
    <xf borderId="16" fillId="3" fontId="14" numFmtId="0" xfId="0" applyAlignment="1" applyBorder="1" applyFill="1" applyFont="1">
      <alignment horizontal="center" shrinkToFit="0" vertical="center" wrapText="1"/>
    </xf>
    <xf borderId="33" fillId="2" fontId="9" numFmtId="0" xfId="0" applyAlignment="1" applyBorder="1" applyFill="1" applyFont="1">
      <alignment horizontal="left" shrinkToFit="0" vertical="center" wrapText="1"/>
    </xf>
    <xf borderId="16" fillId="0" fontId="16" numFmtId="0" xfId="0" applyAlignment="1" applyBorder="1" applyFont="1">
      <alignment horizontal="left" shrinkToFit="0" vertical="center" wrapText="1"/>
    </xf>
    <xf borderId="33" fillId="3" fontId="17" numFmtId="0" xfId="0" applyAlignment="1" applyBorder="1" applyFill="1" applyFont="1">
      <alignment horizontal="center" shrinkToFit="0" vertical="center" wrapText="1"/>
    </xf>
    <xf borderId="16" fillId="8" fontId="8" numFmtId="0" xfId="0" applyAlignment="1" applyBorder="1" applyFill="1" applyFont="1">
      <alignment horizontal="center"/>
    </xf>
    <xf borderId="33" fillId="3" fontId="14" numFmtId="164" xfId="0" applyAlignment="1" applyBorder="1" applyFill="1" applyFont="1" applyNumberFormat="1">
      <alignment horizontal="center" shrinkToFit="0" vertical="center" wrapText="1"/>
    </xf>
    <xf borderId="16" fillId="0" fontId="16" numFmtId="0" xfId="0" applyAlignment="1" applyBorder="1" applyFont="1">
      <alignment horizontal="center" shrinkToFit="0" vertical="center" wrapText="1"/>
    </xf>
    <xf borderId="12" fillId="0" fontId="18" numFmtId="49" xfId="0" applyAlignment="1" applyBorder="1" applyFont="1" applyNumberFormat="1">
      <alignment horizontal="center" shrinkToFit="1" vertical="center" wrapText="0"/>
    </xf>
    <xf borderId="17" fillId="0" fontId="2" numFmtId="15" xfId="0" applyAlignment="1" applyBorder="1" applyFont="1" applyNumberFormat="1">
      <alignment horizontal="center" shrinkToFit="0" vertical="center" wrapText="1"/>
    </xf>
    <xf borderId="1" fillId="2" fontId="9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33" fillId="9" fontId="14" numFmtId="2" xfId="0" applyAlignment="1" applyBorder="1" applyFill="1" applyFont="1" applyNumberFormat="1">
      <alignment horizontal="center" shrinkToFit="0" vertical="center" wrapText="1"/>
    </xf>
    <xf borderId="16" fillId="8" fontId="8" numFmtId="10" xfId="0" applyAlignment="1" applyBorder="1" applyFill="1" applyFont="1" applyNumberFormat="1">
      <alignment horizontal="center"/>
    </xf>
    <xf borderId="16" fillId="0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36" fillId="0" fontId="19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vertical="center"/>
    </xf>
    <xf borderId="16" fillId="0" fontId="2" numFmtId="164" xfId="0" applyAlignment="1" applyBorder="1" applyFont="1" applyNumberFormat="1">
      <alignment horizontal="center" shrinkToFit="0" vertical="center" wrapText="1"/>
    </xf>
    <xf borderId="16" fillId="0" fontId="2" numFmtId="0" xfId="0" applyAlignment="1" applyBorder="1" applyFont="1">
      <alignment shrinkToFit="0" vertical="center" wrapText="1"/>
    </xf>
    <xf borderId="37" fillId="6" fontId="20" numFmtId="0" xfId="0" applyAlignment="1" applyBorder="1" applyFill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top" wrapText="1"/>
    </xf>
    <xf borderId="37" fillId="6" fontId="21" numFmtId="0" xfId="0" applyAlignment="1" applyBorder="1" applyFill="1" applyFont="1">
      <alignment horizontal="center" shrinkToFit="0" vertical="center" wrapText="1"/>
    </xf>
    <xf borderId="16" fillId="9" fontId="22" numFmtId="0" xfId="0" applyAlignment="1" applyBorder="1" applyFill="1" applyFont="1">
      <alignment vertical="center"/>
    </xf>
    <xf borderId="16" fillId="10" fontId="1" numFmtId="0" xfId="0" applyBorder="1" applyFill="1" applyFont="1"/>
    <xf borderId="16" fillId="0" fontId="2" numFmtId="1" xfId="0" applyAlignment="1" applyBorder="1" applyFont="1" applyNumberFormat="1">
      <alignment horizontal="center" shrinkToFit="0" vertical="center" wrapText="1"/>
    </xf>
    <xf borderId="16" fillId="9" fontId="22" numFmtId="0" xfId="0" applyAlignment="1" applyBorder="1" applyFill="1" applyFont="1">
      <alignment shrinkToFit="0" vertical="center" wrapText="1"/>
    </xf>
    <xf borderId="38" fillId="0" fontId="16" numFmtId="0" xfId="0" applyAlignment="1" applyBorder="1" applyFont="1">
      <alignment horizontal="center" shrinkToFit="0" vertical="center" wrapText="1"/>
    </xf>
    <xf borderId="16" fillId="9" fontId="22" numFmtId="0" xfId="0" applyAlignment="1" applyBorder="1" applyFill="1" applyFont="1">
      <alignment horizontal="center" shrinkToFit="0" vertical="center" wrapText="1"/>
    </xf>
    <xf borderId="30" fillId="0" fontId="23" numFmtId="0" xfId="0" applyAlignment="1" applyBorder="1" applyFont="1">
      <alignment horizontal="center" shrinkToFit="0" vertical="center" wrapText="1"/>
    </xf>
    <xf borderId="16" fillId="2" fontId="19" numFmtId="0" xfId="0" applyAlignment="1" applyBorder="1" applyFill="1" applyFont="1">
      <alignment horizontal="left" shrinkToFit="0" vertical="center" wrapText="1"/>
    </xf>
    <xf borderId="16" fillId="2" fontId="19" numFmtId="0" xfId="0" applyAlignment="1" applyBorder="1" applyFill="1" applyFont="1">
      <alignment horizontal="center" shrinkToFit="0" vertical="center" wrapText="1"/>
    </xf>
    <xf quotePrefix="1" borderId="16" fillId="2" fontId="19" numFmtId="165" xfId="0" applyAlignment="1" applyBorder="1" applyFill="1" applyFont="1" applyNumberFormat="1">
      <alignment horizontal="center" shrinkToFit="0" vertical="center" wrapText="1"/>
    </xf>
    <xf borderId="16" fillId="10" fontId="8" numFmtId="0" xfId="0" applyAlignment="1" applyBorder="1" applyFill="1" applyFont="1">
      <alignment horizontal="center"/>
    </xf>
    <xf borderId="16" fillId="11" fontId="24" numFmtId="0" xfId="0" applyAlignment="1" applyBorder="1" applyFill="1" applyFont="1">
      <alignment horizontal="center" readingOrder="0" vertical="center"/>
    </xf>
    <xf borderId="34" fillId="11" fontId="24" numFmtId="0" xfId="0" applyAlignment="1" applyBorder="1" applyFill="1" applyFont="1">
      <alignment horizontal="center" shrinkToFit="0" vertical="center" wrapText="1"/>
    </xf>
    <xf borderId="30" fillId="0" fontId="24" numFmtId="166" xfId="0" applyAlignment="1" applyBorder="1" applyFont="1" applyNumberFormat="1">
      <alignment horizontal="center" vertical="center"/>
    </xf>
    <xf borderId="16" fillId="10" fontId="8" numFmtId="10" xfId="0" applyAlignment="1" applyBorder="1" applyFill="1" applyFont="1" applyNumberFormat="1">
      <alignment horizontal="center"/>
    </xf>
    <xf borderId="16" fillId="2" fontId="19" numFmtId="0" xfId="0" applyAlignment="1" applyBorder="1" applyFill="1" applyFont="1">
      <alignment vertical="center"/>
    </xf>
    <xf borderId="16" fillId="2" fontId="19" numFmtId="0" xfId="0" applyAlignment="1" applyBorder="1" applyFill="1" applyFont="1">
      <alignment shrinkToFit="0" vertical="center" wrapText="1"/>
    </xf>
    <xf borderId="16" fillId="12" fontId="1" numFmtId="0" xfId="0" applyBorder="1" applyFill="1" applyFont="1"/>
    <xf borderId="16" fillId="0" fontId="16" numFmtId="0" xfId="0" applyAlignment="1" applyBorder="1" applyFont="1">
      <alignment shrinkToFit="0" vertical="center" wrapText="1"/>
    </xf>
    <xf quotePrefix="1" borderId="16" fillId="2" fontId="19" numFmtId="0" xfId="0" applyAlignment="1" applyBorder="1" applyFill="1" applyFont="1">
      <alignment horizontal="left" shrinkToFit="0" vertical="center" wrapText="1"/>
    </xf>
    <xf borderId="16" fillId="12" fontId="8" numFmtId="0" xfId="0" applyAlignment="1" applyBorder="1" applyFill="1" applyFont="1">
      <alignment horizontal="center"/>
    </xf>
    <xf borderId="16" fillId="11" fontId="19" numFmtId="0" xfId="0" applyAlignment="1" applyBorder="1" applyFill="1" applyFont="1">
      <alignment horizontal="left" shrinkToFit="0" vertical="center" wrapText="1"/>
    </xf>
    <xf borderId="16" fillId="11" fontId="19" numFmtId="0" xfId="0" applyAlignment="1" applyBorder="1" applyFill="1" applyFont="1">
      <alignment horizontal="center" shrinkToFit="0" vertical="center" wrapText="1"/>
    </xf>
    <xf quotePrefix="1" borderId="16" fillId="11" fontId="19" numFmtId="165" xfId="0" applyAlignment="1" applyBorder="1" applyFill="1" applyFont="1" applyNumberFormat="1">
      <alignment horizontal="center" shrinkToFit="0" vertical="center" wrapText="1"/>
    </xf>
    <xf borderId="16" fillId="12" fontId="8" numFmtId="10" xfId="0" applyAlignment="1" applyBorder="1" applyFill="1" applyFont="1" applyNumberFormat="1">
      <alignment horizontal="center"/>
    </xf>
    <xf borderId="16" fillId="11" fontId="19" numFmtId="0" xfId="0" applyAlignment="1" applyBorder="1" applyFill="1" applyFont="1">
      <alignment shrinkToFit="0" vertical="center" wrapText="1"/>
    </xf>
    <xf borderId="17" fillId="0" fontId="16" numFmtId="0" xfId="0" applyAlignment="1" applyBorder="1" applyFont="1">
      <alignment horizontal="left" shrinkToFit="0" vertical="center" wrapText="1"/>
    </xf>
    <xf borderId="16" fillId="13" fontId="1" numFmtId="0" xfId="0" applyBorder="1" applyFill="1" applyFont="1"/>
    <xf borderId="1" fillId="2" fontId="2" numFmtId="0" xfId="0" applyAlignment="1" applyBorder="1" applyFill="1" applyFont="1">
      <alignment horizontal="center" vertical="center"/>
    </xf>
    <xf borderId="11" fillId="0" fontId="18" numFmtId="49" xfId="0" applyAlignment="1" applyBorder="1" applyFont="1" applyNumberFormat="1">
      <alignment horizontal="center" shrinkToFit="1" vertical="center" wrapText="0"/>
    </xf>
    <xf borderId="0" fillId="0" fontId="18" numFmtId="49" xfId="0" applyAlignment="1" applyFont="1" applyNumberFormat="1">
      <alignment horizontal="center" shrinkToFit="1" vertical="center" wrapText="0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16" fillId="13" fontId="8" numFmtId="0" xfId="0" applyAlignment="1" applyBorder="1" applyFill="1" applyFont="1">
      <alignment horizontal="center"/>
    </xf>
    <xf borderId="0" fillId="0" fontId="16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2" fillId="0" fontId="16" numFmtId="0" xfId="0" applyAlignment="1" applyBorder="1" applyFont="1">
      <alignment horizontal="left" shrinkToFit="0" vertical="center" wrapText="1"/>
    </xf>
    <xf borderId="16" fillId="13" fontId="8" numFmtId="10" xfId="0" applyAlignment="1" applyBorder="1" applyFill="1" applyFont="1" applyNumberFormat="1">
      <alignment horizontal="center"/>
    </xf>
    <xf borderId="16" fillId="14" fontId="1" numFmtId="0" xfId="0" applyBorder="1" applyFill="1" applyFont="1"/>
    <xf borderId="4" fillId="0" fontId="18" numFmtId="49" xfId="0" applyAlignment="1" applyBorder="1" applyFont="1" applyNumberFormat="1">
      <alignment horizontal="center" shrinkToFit="1" vertical="center" wrapText="0"/>
    </xf>
    <xf borderId="39" fillId="0" fontId="20" numFmtId="0" xfId="0" applyAlignment="1" applyBorder="1" applyFont="1">
      <alignment horizontal="left" shrinkToFit="0" vertical="center" wrapText="1"/>
    </xf>
    <xf borderId="39" fillId="0" fontId="16" numFmtId="0" xfId="0" applyAlignment="1" applyBorder="1" applyFont="1">
      <alignment horizontal="left" shrinkToFit="0" vertical="center" wrapText="1"/>
    </xf>
    <xf borderId="16" fillId="14" fontId="8" numFmtId="0" xfId="0" applyAlignment="1" applyBorder="1" applyFill="1" applyFont="1">
      <alignment horizontal="center"/>
    </xf>
    <xf borderId="16" fillId="0" fontId="18" numFmtId="49" xfId="0" applyAlignment="1" applyBorder="1" applyFont="1" applyNumberFormat="1">
      <alignment horizontal="center" shrinkToFit="1" vertical="center" wrapText="0"/>
    </xf>
    <xf borderId="16" fillId="14" fontId="8" numFmtId="10" xfId="0" applyAlignment="1" applyBorder="1" applyFill="1" applyFont="1" applyNumberFormat="1">
      <alignment horizontal="center"/>
    </xf>
    <xf borderId="16" fillId="2" fontId="8" numFmtId="0" xfId="0" applyBorder="1" applyFill="1" applyFont="1"/>
    <xf borderId="16" fillId="0" fontId="25" numFmtId="0" xfId="0" applyAlignment="1" applyBorder="1" applyFont="1">
      <alignment readingOrder="0"/>
    </xf>
    <xf borderId="16" fillId="0" fontId="8" numFmtId="0" xfId="0" applyAlignment="1" applyBorder="1" applyFont="1">
      <alignment horizontal="center"/>
    </xf>
    <xf borderId="16" fillId="0" fontId="8" numFmtId="9" xfId="0" applyAlignment="1" applyBorder="1" applyFont="1" applyNumberFormat="1">
      <alignment horizontal="center"/>
    </xf>
    <xf borderId="16" fillId="9" fontId="8" numFmtId="0" xfId="0" applyAlignment="1" applyBorder="1" applyFill="1" applyFont="1">
      <alignment horizontal="left"/>
    </xf>
    <xf borderId="16" fillId="0" fontId="25" numFmtId="0" xfId="0" applyAlignment="1" applyBorder="1" applyFont="1">
      <alignment readingOrder="0" shrinkToFit="0" wrapText="1"/>
    </xf>
    <xf borderId="28" fillId="9" fontId="8" numFmtId="10" xfId="0" applyAlignment="1" applyBorder="1" applyFill="1" applyFont="1" applyNumberFormat="1">
      <alignment horizontal="center" shrinkToFit="0" wrapText="1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/>
    </xf>
    <xf borderId="16" fillId="9" fontId="19" numFmtId="0" xfId="0" applyAlignment="1" applyBorder="1" applyFill="1" applyFont="1">
      <alignment horizontal="left" shrinkToFit="0" vertical="center" wrapText="1"/>
    </xf>
    <xf borderId="16" fillId="9" fontId="19" numFmtId="0" xfId="0" applyAlignment="1" applyBorder="1" applyFill="1" applyFont="1">
      <alignment horizontal="center" shrinkToFit="0" vertical="center" wrapText="1"/>
    </xf>
    <xf quotePrefix="1" borderId="16" fillId="9" fontId="19" numFmtId="165" xfId="0" applyAlignment="1" applyBorder="1" applyFill="1" applyFont="1" applyNumberFormat="1">
      <alignment horizontal="center" shrinkToFit="0" vertical="center" wrapText="1"/>
    </xf>
    <xf quotePrefix="1" borderId="16" fillId="9" fontId="19" numFmtId="0" xfId="0" applyAlignment="1" applyBorder="1" applyFill="1" applyFont="1">
      <alignment horizontal="left" shrinkToFit="0" vertical="center" wrapText="1"/>
    </xf>
    <xf borderId="16" fillId="9" fontId="24" numFmtId="0" xfId="0" applyAlignment="1" applyBorder="1" applyFill="1" applyFont="1">
      <alignment horizontal="center" readingOrder="0" vertical="center"/>
    </xf>
    <xf borderId="34" fillId="9" fontId="24" numFmtId="0" xfId="0" applyAlignment="1" applyBorder="1" applyFill="1" applyFont="1">
      <alignment horizontal="center" shrinkToFit="0" vertical="center" wrapText="1"/>
    </xf>
    <xf borderId="34" fillId="9" fontId="24" numFmtId="166" xfId="0" applyAlignment="1" applyBorder="1" applyFill="1" applyFont="1" applyNumberFormat="1">
      <alignment horizontal="center" vertical="center"/>
    </xf>
    <xf borderId="16" fillId="9" fontId="19" numFmtId="0" xfId="0" applyAlignment="1" applyBorder="1" applyFill="1" applyFont="1">
      <alignment horizontal="center" readingOrder="0" shrinkToFit="0" vertical="center" wrapText="1"/>
    </xf>
    <xf borderId="16" fillId="9" fontId="19" numFmtId="0" xfId="0" applyAlignment="1" applyBorder="1" applyFill="1" applyFont="1">
      <alignment vertical="center"/>
    </xf>
    <xf borderId="16" fillId="9" fontId="19" numFmtId="0" xfId="0" applyAlignment="1" applyBorder="1" applyFill="1" applyFont="1">
      <alignment shrinkToFit="0" vertical="center" wrapText="1"/>
    </xf>
    <xf borderId="16" fillId="9" fontId="19" numFmtId="0" xfId="0" applyAlignment="1" applyBorder="1" applyFill="1" applyFont="1">
      <alignment horizontal="left" vertical="center"/>
    </xf>
    <xf borderId="16" fillId="2" fontId="19" numFmtId="0" xfId="0" applyAlignment="1" applyBorder="1" applyFill="1" applyFont="1">
      <alignment horizontal="left" vertical="center"/>
    </xf>
    <xf borderId="16" fillId="0" fontId="26" numFmtId="0" xfId="0" applyAlignment="1" applyBorder="1" applyFont="1">
      <alignment horizontal="left" readingOrder="0"/>
    </xf>
    <xf borderId="16" fillId="0" fontId="26" numFmtId="0" xfId="0" applyAlignment="1" applyBorder="1" applyFont="1">
      <alignment horizontal="left" readingOrder="0" vertical="top"/>
    </xf>
    <xf borderId="30" fillId="0" fontId="25" numFmtId="0" xfId="0" applyAlignment="1" applyBorder="1" applyFont="1">
      <alignment readingOrder="0" shrinkToFit="0" wrapText="1"/>
    </xf>
    <xf quotePrefix="1" borderId="16" fillId="2" fontId="19" numFmtId="0" xfId="0" applyAlignment="1" applyBorder="1" applyFill="1" applyFont="1">
      <alignment horizontal="center" readingOrder="0" shrinkToFit="0" vertical="center" wrapText="1"/>
    </xf>
    <xf quotePrefix="1" borderId="16" fillId="11" fontId="19" numFmtId="0" xfId="0" applyAlignment="1" applyBorder="1" applyFill="1" applyFont="1">
      <alignment horizontal="center" readingOrder="0" shrinkToFit="0" vertical="center" wrapText="1"/>
    </xf>
    <xf borderId="16" fillId="11" fontId="19" numFmtId="0" xfId="0" applyAlignment="1" applyBorder="1" applyFill="1" applyFont="1">
      <alignment horizontal="left" vertical="center"/>
    </xf>
    <xf borderId="16" fillId="0" fontId="19" numFmtId="0" xfId="0" applyAlignment="1" applyBorder="1" applyFont="1">
      <alignment vertical="center"/>
    </xf>
    <xf borderId="16" fillId="0" fontId="19" numFmtId="0" xfId="0" applyAlignment="1" applyBorder="1" applyFont="1">
      <alignment shrinkToFit="0" vertical="center" wrapText="1"/>
    </xf>
    <xf borderId="33" fillId="9" fontId="19" numFmtId="0" xfId="0" applyAlignment="1" applyBorder="1" applyFill="1" applyFont="1">
      <alignment vertical="center"/>
    </xf>
    <xf quotePrefix="1" borderId="33" fillId="9" fontId="19" numFmtId="0" xfId="0" applyAlignment="1" applyBorder="1" applyFill="1" applyFont="1">
      <alignment horizontal="center" readingOrder="0" shrinkToFit="0" vertical="center" wrapText="1"/>
    </xf>
    <xf borderId="33" fillId="9" fontId="24" numFmtId="0" xfId="0" applyAlignment="1" applyBorder="1" applyFill="1" applyFont="1">
      <alignment horizontal="center" vertical="center"/>
    </xf>
    <xf borderId="40" fillId="9" fontId="24" numFmtId="0" xfId="0" applyAlignment="1" applyBorder="1" applyFill="1" applyFont="1">
      <alignment horizontal="center" shrinkToFit="0" vertical="center" wrapText="1"/>
    </xf>
    <xf borderId="40" fillId="9" fontId="24" numFmtId="166" xfId="0" applyAlignment="1" applyBorder="1" applyFill="1" applyFont="1" applyNumberFormat="1">
      <alignment horizontal="center" vertical="center"/>
    </xf>
    <xf borderId="33" fillId="9" fontId="19" numFmtId="0" xfId="0" applyAlignment="1" applyBorder="1" applyFill="1" applyFont="1">
      <alignment horizontal="center" shrinkToFit="0" vertical="center" wrapText="1"/>
    </xf>
    <xf borderId="16" fillId="0" fontId="1" numFmtId="0" xfId="0" applyAlignment="1" applyBorder="1" applyFont="1">
      <alignment horizontal="left" shrinkToFit="0" vertical="top" wrapText="1"/>
    </xf>
    <xf borderId="33" fillId="11" fontId="24" numFmtId="0" xfId="0" applyAlignment="1" applyBorder="1" applyFill="1" applyFont="1">
      <alignment horizontal="center" readingOrder="0" vertical="center"/>
    </xf>
    <xf borderId="16" fillId="0" fontId="24" numFmtId="166" xfId="0" applyAlignment="1" applyBorder="1" applyFont="1" applyNumberFormat="1">
      <alignment horizontal="center" vertical="center"/>
    </xf>
    <xf borderId="16" fillId="9" fontId="1" numFmtId="0" xfId="0" applyAlignment="1" applyBorder="1" applyFill="1" applyFont="1">
      <alignment horizontal="left" shrinkToFit="0" vertical="top" wrapText="1"/>
    </xf>
    <xf borderId="16" fillId="9" fontId="1" numFmtId="0" xfId="0" applyBorder="1" applyFill="1" applyFont="1"/>
    <xf quotePrefix="1" borderId="16" fillId="9" fontId="19" numFmtId="0" xfId="0" applyAlignment="1" applyBorder="1" applyFill="1" applyFont="1">
      <alignment horizontal="center" readingOrder="0" shrinkToFit="0" vertical="center" wrapText="1"/>
    </xf>
    <xf borderId="28" fillId="9" fontId="1" numFmtId="0" xfId="0" applyAlignment="1" applyBorder="1" applyFill="1" applyFont="1">
      <alignment horizontal="left" shrinkToFit="0" vertical="top" wrapText="1"/>
    </xf>
    <xf borderId="16" fillId="9" fontId="26" numFmtId="0" xfId="0" applyAlignment="1" applyBorder="1" applyFill="1" applyFont="1">
      <alignment readingOrder="0"/>
    </xf>
    <xf borderId="41" fillId="9" fontId="22" numFmtId="0" xfId="0" applyAlignment="1" applyBorder="1" applyFill="1" applyFont="1">
      <alignment shrinkToFit="0" vertical="center" wrapText="1"/>
    </xf>
    <xf borderId="41" fillId="9" fontId="22" numFmtId="0" xfId="0" applyAlignment="1" applyBorder="1" applyFill="1" applyFont="1">
      <alignment horizontal="center" shrinkToFit="0" vertical="center" wrapText="1"/>
    </xf>
    <xf borderId="42" fillId="9" fontId="22" numFmtId="0" xfId="0" applyAlignment="1" applyBorder="1" applyFill="1" applyFont="1">
      <alignment shrinkToFit="0" vertical="center" wrapText="1"/>
    </xf>
    <xf borderId="43" fillId="9" fontId="22" numFmtId="0" xfId="0" applyAlignment="1" applyBorder="1" applyFill="1" applyFont="1">
      <alignment shrinkToFit="0" vertical="center" wrapText="1"/>
    </xf>
    <xf borderId="16" fillId="15" fontId="19" numFmtId="0" xfId="0" applyAlignment="1" applyBorder="1" applyFill="1" applyFont="1">
      <alignment vertical="center"/>
    </xf>
    <xf borderId="16" fillId="15" fontId="19" numFmtId="0" xfId="0" applyAlignment="1" applyBorder="1" applyFill="1" applyFont="1">
      <alignment horizontal="center" vertical="center"/>
    </xf>
    <xf quotePrefix="1" borderId="16" fillId="15" fontId="19" numFmtId="165" xfId="0" applyAlignment="1" applyBorder="1" applyFill="1" applyFont="1" applyNumberFormat="1">
      <alignment horizontal="center" shrinkToFit="0" vertical="center" wrapText="1"/>
    </xf>
    <xf borderId="16" fillId="15" fontId="19" numFmtId="0" xfId="0" applyAlignment="1" applyBorder="1" applyFill="1" applyFont="1">
      <alignment shrinkToFit="0" vertical="center" wrapText="1"/>
    </xf>
    <xf borderId="41" fillId="15" fontId="24" numFmtId="0" xfId="0" applyAlignment="1" applyBorder="1" applyFill="1" applyFont="1">
      <alignment horizontal="center" readingOrder="0" vertical="center"/>
    </xf>
    <xf borderId="34" fillId="15" fontId="24" numFmtId="0" xfId="0" applyAlignment="1" applyBorder="1" applyFill="1" applyFont="1">
      <alignment horizontal="center" shrinkToFit="0" vertical="center" wrapText="1"/>
    </xf>
    <xf borderId="34" fillId="15" fontId="24" numFmtId="166" xfId="0" applyAlignment="1" applyBorder="1" applyFill="1" applyFont="1" applyNumberFormat="1">
      <alignment horizontal="center" vertical="center"/>
    </xf>
    <xf borderId="16" fillId="15" fontId="19" numFmtId="0" xfId="0" applyAlignment="1" applyBorder="1" applyFill="1" applyFont="1">
      <alignment horizontal="center" shrinkToFit="0" vertical="center" wrapText="1"/>
    </xf>
    <xf borderId="16" fillId="15" fontId="24" numFmtId="0" xfId="0" applyAlignment="1" applyBorder="1" applyFill="1" applyFont="1">
      <alignment horizontal="center" readingOrder="0" vertical="center"/>
    </xf>
    <xf borderId="16" fillId="15" fontId="19" numFmtId="0" xfId="0" applyAlignment="1" applyBorder="1" applyFill="1" applyFont="1">
      <alignment horizontal="left" shrinkToFit="0" vertical="center" wrapText="1"/>
    </xf>
    <xf borderId="16" fillId="15" fontId="24" numFmtId="0" xfId="0" applyAlignment="1" applyBorder="1" applyFill="1" applyFont="1">
      <alignment horizontal="center" vertical="center"/>
    </xf>
    <xf borderId="33" fillId="15" fontId="19" numFmtId="0" xfId="0" applyAlignment="1" applyBorder="1" applyFill="1" applyFont="1">
      <alignment shrinkToFit="0" vertical="center" wrapText="1"/>
    </xf>
    <xf borderId="33" fillId="15" fontId="19" numFmtId="0" xfId="0" applyAlignment="1" applyBorder="1" applyFill="1" applyFont="1">
      <alignment horizontal="left" shrinkToFit="0" vertical="center" wrapText="1"/>
    </xf>
    <xf borderId="33" fillId="15" fontId="19" numFmtId="0" xfId="0" applyAlignment="1" applyBorder="1" applyFill="1" applyFont="1">
      <alignment horizontal="center" shrinkToFit="0" vertical="center" wrapText="1"/>
    </xf>
    <xf borderId="16" fillId="15" fontId="24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1" fillId="2" fontId="20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ill="1" applyFont="1">
      <alignment horizontal="center" shrinkToFit="0" wrapText="1"/>
    </xf>
    <xf borderId="0" fillId="0" fontId="20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top" wrapText="1"/>
    </xf>
    <xf borderId="1" fillId="11" fontId="16" numFmtId="15" xfId="0" applyAlignment="1" applyBorder="1" applyFill="1" applyFont="1" applyNumberFormat="1">
      <alignment horizontal="center" shrinkToFit="0" vertical="center" wrapText="1"/>
    </xf>
    <xf borderId="0" fillId="0" fontId="27" numFmtId="0" xfId="0" applyAlignment="1" applyFont="1">
      <alignment horizontal="left" vertical="top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1" fillId="2" fontId="8" numFmtId="0" xfId="0" applyAlignment="1" applyBorder="1" applyFill="1" applyFont="1">
      <alignment horizontal="left" vertical="center"/>
    </xf>
    <xf borderId="1" fillId="2" fontId="27" numFmtId="0" xfId="0" applyAlignment="1" applyBorder="1" applyFill="1" applyFont="1">
      <alignment horizontal="left" vertical="top"/>
    </xf>
    <xf borderId="5" fillId="2" fontId="28" numFmtId="0" xfId="0" applyAlignment="1" applyBorder="1" applyFill="1" applyFont="1">
      <alignment horizontal="center" shrinkToFit="0" vertical="center" wrapText="1"/>
    </xf>
    <xf borderId="16" fillId="6" fontId="17" numFmtId="0" xfId="0" applyAlignment="1" applyBorder="1" applyFill="1" applyFont="1">
      <alignment horizontal="center" shrinkToFit="0" vertical="center" wrapText="1"/>
    </xf>
    <xf borderId="28" fillId="16" fontId="15" numFmtId="0" xfId="0" applyAlignment="1" applyBorder="1" applyFill="1" applyFont="1">
      <alignment horizontal="left" shrinkToFit="0" vertical="center" wrapText="1"/>
    </xf>
    <xf borderId="32" fillId="16" fontId="9" numFmtId="0" xfId="0" applyAlignment="1" applyBorder="1" applyFill="1" applyFont="1">
      <alignment shrinkToFit="0" vertical="center" wrapText="1"/>
    </xf>
    <xf borderId="34" fillId="16" fontId="9" numFmtId="0" xfId="0" applyAlignment="1" applyBorder="1" applyFill="1" applyFont="1">
      <alignment shrinkToFit="0" vertical="center" wrapText="1"/>
    </xf>
    <xf borderId="16" fillId="0" fontId="19" numFmtId="0" xfId="0" applyAlignment="1" applyBorder="1" applyFont="1">
      <alignment horizontal="left" shrinkToFit="0" vertical="center" wrapText="1"/>
    </xf>
    <xf borderId="16" fillId="0" fontId="24" numFmtId="0" xfId="0" applyAlignment="1" applyBorder="1" applyFont="1">
      <alignment horizontal="left" shrinkToFit="0" vertical="center" wrapText="1"/>
    </xf>
    <xf borderId="16" fillId="2" fontId="1" numFmtId="0" xfId="0" applyBorder="1" applyFill="1" applyFont="1"/>
    <xf borderId="30" fillId="0" fontId="24" numFmtId="49" xfId="0" applyAlignment="1" applyBorder="1" applyFont="1" applyNumberFormat="1">
      <alignment horizontal="center" shrinkToFit="1" vertical="center" wrapText="0"/>
    </xf>
    <xf borderId="16" fillId="11" fontId="19" numFmtId="15" xfId="0" applyAlignment="1" applyBorder="1" applyFill="1" applyFont="1" applyNumberForma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top" wrapText="1"/>
    </xf>
    <xf borderId="16" fillId="9" fontId="8" numFmtId="0" xfId="0" applyAlignment="1" applyBorder="1" applyFill="1" applyFont="1">
      <alignment horizontal="center" shrinkToFit="0" vertical="center" wrapText="1"/>
    </xf>
    <xf borderId="17" fillId="0" fontId="1" numFmtId="15" xfId="0" applyAlignment="1" applyBorder="1" applyFont="1" applyNumberFormat="1">
      <alignment horizontal="left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shrinkToFit="0" vertical="center" wrapText="1"/>
    </xf>
    <xf borderId="39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1685925</xdr:colOff>
      <xdr:row>1</xdr:row>
      <xdr:rowOff>152400</xdr:rowOff>
    </xdr:from>
    <xdr:ext cx="1762125" cy="6096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1685925</xdr:colOff>
      <xdr:row>9</xdr:row>
      <xdr:rowOff>152400</xdr:rowOff>
    </xdr:from>
    <xdr:ext cx="1762125" cy="6096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104775</xdr:rowOff>
    </xdr:from>
    <xdr:ext cx="1562100" cy="552450"/>
    <xdr:pic>
      <xdr:nvPicPr>
        <xdr:cNvPr descr="BSS New Logo (Black)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2457450" cy="314325"/>
    <xdr:sp>
      <xdr:nvSpPr>
        <xdr:cNvPr descr="Displaying image.png" id="3" name="Shape 3"/>
        <xdr:cNvSpPr/>
      </xdr:nvSpPr>
      <xdr:spPr>
        <a:xfrm>
          <a:off x="4122038" y="3627600"/>
          <a:ext cx="24479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676275</xdr:colOff>
      <xdr:row>1</xdr:row>
      <xdr:rowOff>38100</xdr:rowOff>
    </xdr:from>
    <xdr:ext cx="2000250" cy="647700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1</xdr:row>
      <xdr:rowOff>28575</xdr:rowOff>
    </xdr:from>
    <xdr:ext cx="2276475" cy="790575"/>
    <xdr:pic>
      <xdr:nvPicPr>
        <xdr:cNvPr descr="BSS New Logo (Black)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1</xdr:row>
      <xdr:rowOff>28575</xdr:rowOff>
    </xdr:from>
    <xdr:ext cx="2276475" cy="790575"/>
    <xdr:pic>
      <xdr:nvPicPr>
        <xdr:cNvPr descr="BSS New Logo (Black)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1.86"/>
    <col customWidth="1" min="3" max="3" width="41.86"/>
    <col customWidth="1" min="4" max="4" width="25.14"/>
    <col customWidth="1" min="5" max="5" width="45.86"/>
    <col customWidth="1" min="6" max="6" width="67.14"/>
    <col customWidth="1" min="7" max="7" width="65.14"/>
    <col customWidth="1" min="8" max="8" width="35.14"/>
    <col customWidth="1" min="9" max="9" width="150.71"/>
    <col customWidth="1" min="10" max="10" width="29.57"/>
    <col customWidth="1" min="11" max="11" width="25.43"/>
    <col customWidth="1" min="12" max="12" width="27.14"/>
    <col customWidth="1" min="13" max="13" width="21.43"/>
    <col customWidth="1" min="14" max="14" width="29.57"/>
    <col customWidth="1" min="15" max="15" width="31.29"/>
    <col customWidth="1" hidden="1" min="16" max="16" width="21.14"/>
    <col customWidth="1" min="17" max="20" width="21.14"/>
    <col customWidth="1" min="21" max="21" width="25.29"/>
    <col customWidth="1" min="22" max="22" width="6.86"/>
    <col customWidth="1" min="23" max="28" width="8.0"/>
  </cols>
  <sheetData>
    <row r="1" ht="4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customHeight="1">
      <c r="A2" s="2"/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8"/>
      <c r="M2" s="10"/>
      <c r="N2" s="10"/>
      <c r="O2" s="1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/>
      <c r="B3" s="12"/>
      <c r="K3" s="1"/>
      <c r="L3" s="14"/>
      <c r="M3" s="10"/>
      <c r="N3" s="10"/>
      <c r="O3" s="1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57.0" customHeight="1">
      <c r="A4" s="2"/>
      <c r="B4" s="16"/>
      <c r="C4" s="18"/>
      <c r="D4" s="18"/>
      <c r="E4" s="18"/>
      <c r="F4" s="18"/>
      <c r="G4" s="18"/>
      <c r="H4" s="18"/>
      <c r="I4" s="18"/>
      <c r="J4" s="18"/>
      <c r="K4" s="21"/>
      <c r="L4" s="23"/>
      <c r="M4" s="10"/>
      <c r="N4" s="10"/>
      <c r="O4" s="1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9.25" customHeight="1">
      <c r="A5" s="2"/>
      <c r="B5" s="2"/>
      <c r="C5" s="27"/>
      <c r="D5" s="28"/>
      <c r="E5" s="28"/>
      <c r="F5" s="27"/>
      <c r="G5" s="27"/>
      <c r="H5" s="27"/>
      <c r="I5" s="27"/>
      <c r="J5" s="27"/>
      <c r="K5" s="27"/>
      <c r="L5" s="27"/>
      <c r="M5" s="27"/>
      <c r="N5" s="2"/>
      <c r="O5" s="2"/>
      <c r="P5" s="2" t="s">
        <v>3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5.75" customHeight="1">
      <c r="A6" s="2"/>
      <c r="B6" s="31" t="s">
        <v>4</v>
      </c>
      <c r="C6" s="32"/>
      <c r="D6" s="33" t="s">
        <v>6</v>
      </c>
      <c r="E6" s="37"/>
      <c r="F6" s="41" t="s">
        <v>8</v>
      </c>
      <c r="G6" s="33" t="s">
        <v>10</v>
      </c>
      <c r="H6" s="37"/>
      <c r="I6" s="47" t="s">
        <v>8</v>
      </c>
      <c r="J6" s="51" t="s">
        <v>15</v>
      </c>
      <c r="K6" s="37"/>
      <c r="L6" s="4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"/>
      <c r="Z6" s="1"/>
      <c r="AA6" s="1"/>
      <c r="AB6" s="1"/>
    </row>
    <row r="7" ht="45.75" customHeight="1">
      <c r="A7" s="2"/>
      <c r="B7" s="31" t="s">
        <v>16</v>
      </c>
      <c r="C7" s="55" t="s">
        <v>19</v>
      </c>
      <c r="D7" s="49"/>
      <c r="E7" s="49"/>
      <c r="F7" s="49"/>
      <c r="G7" s="49"/>
      <c r="H7" s="49"/>
      <c r="I7" s="16"/>
      <c r="J7" s="49"/>
      <c r="K7" s="49"/>
      <c r="L7" s="60" t="s">
        <v>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"/>
      <c r="Z7" s="1"/>
      <c r="AA7" s="1"/>
      <c r="AB7" s="1"/>
    </row>
    <row r="8" ht="45.0" customHeight="1">
      <c r="A8" s="2"/>
      <c r="B8" s="31" t="s">
        <v>20</v>
      </c>
      <c r="C8" s="64" t="s">
        <v>22</v>
      </c>
      <c r="M8" s="6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  <c r="AB8" s="1"/>
    </row>
    <row r="9" ht="4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8.0" customHeight="1">
      <c r="A10" s="2"/>
      <c r="B10" s="4" t="s">
        <v>35</v>
      </c>
      <c r="C10" s="5"/>
      <c r="D10" s="5"/>
      <c r="E10" s="5"/>
      <c r="F10" s="5"/>
      <c r="G10" s="5"/>
      <c r="H10" s="5"/>
      <c r="I10" s="5"/>
      <c r="J10" s="5"/>
      <c r="K10" s="6"/>
      <c r="L10" s="8"/>
      <c r="M10" s="10"/>
      <c r="N10" s="10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8.75" customHeight="1">
      <c r="A11" s="2"/>
      <c r="B11" s="12"/>
      <c r="K11" s="1"/>
      <c r="L11" s="14"/>
      <c r="M11" s="10"/>
      <c r="N11" s="10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57.0" customHeight="1">
      <c r="A12" s="2"/>
      <c r="B12" s="16"/>
      <c r="C12" s="18"/>
      <c r="D12" s="18"/>
      <c r="E12" s="18"/>
      <c r="F12" s="18"/>
      <c r="G12" s="18"/>
      <c r="H12" s="18"/>
      <c r="I12" s="18"/>
      <c r="J12" s="18"/>
      <c r="K12" s="21"/>
      <c r="L12" s="23"/>
      <c r="M12" s="10"/>
      <c r="N12" s="10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9.25" customHeight="1">
      <c r="A13" s="2"/>
      <c r="B13" s="2"/>
      <c r="C13" s="27"/>
      <c r="D13" s="28"/>
      <c r="E13" s="28"/>
      <c r="F13" s="27"/>
      <c r="G13" s="27"/>
      <c r="H13" s="27"/>
      <c r="I13" s="27"/>
      <c r="J13" s="27"/>
      <c r="K13" s="27"/>
      <c r="L13" s="27"/>
      <c r="M13" s="27"/>
      <c r="N13" s="2"/>
      <c r="O13" s="2"/>
      <c r="P13" s="2" t="s">
        <v>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45.75" customHeight="1">
      <c r="A14" s="2"/>
      <c r="B14" s="31" t="s">
        <v>4</v>
      </c>
      <c r="C14" s="32"/>
      <c r="D14" s="33" t="s">
        <v>6</v>
      </c>
      <c r="E14" s="73" t="s">
        <v>43</v>
      </c>
      <c r="F14" s="41" t="s">
        <v>8</v>
      </c>
      <c r="G14" s="33" t="s">
        <v>10</v>
      </c>
      <c r="H14" s="73" t="s">
        <v>44</v>
      </c>
      <c r="I14" s="47" t="s">
        <v>8</v>
      </c>
      <c r="J14" s="82" t="s">
        <v>15</v>
      </c>
      <c r="K14" s="85" t="s">
        <v>45</v>
      </c>
      <c r="L14" s="41" t="s">
        <v>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"/>
      <c r="Z14" s="1"/>
      <c r="AA14" s="1"/>
      <c r="AB14" s="1"/>
    </row>
    <row r="15" ht="45.75" customHeight="1">
      <c r="A15" s="2"/>
      <c r="B15" s="89" t="s">
        <v>16</v>
      </c>
      <c r="C15" s="91" t="s">
        <v>19</v>
      </c>
      <c r="D15" s="49"/>
      <c r="E15" s="49"/>
      <c r="F15" s="49"/>
      <c r="G15" s="49"/>
      <c r="H15" s="49"/>
      <c r="I15" s="16"/>
      <c r="J15" s="49"/>
      <c r="K15" s="49"/>
      <c r="L15" s="4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1"/>
      <c r="AA15" s="1"/>
      <c r="AB15" s="1"/>
    </row>
    <row r="16" ht="45.75" customHeight="1">
      <c r="A16" s="2"/>
      <c r="B16" s="82" t="s">
        <v>20</v>
      </c>
      <c r="C16" s="98" t="s">
        <v>22</v>
      </c>
      <c r="D16" s="99"/>
      <c r="E16" s="100"/>
      <c r="F16" s="27"/>
      <c r="G16" s="104"/>
      <c r="H16" s="100"/>
      <c r="I16" s="27"/>
      <c r="J16" s="28"/>
      <c r="K16" s="100"/>
      <c r="L16" s="2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"/>
      <c r="Z16" s="1"/>
      <c r="AA16" s="1"/>
      <c r="AB16" s="1"/>
    </row>
    <row r="17" ht="45.75" customHeight="1">
      <c r="A17" s="2"/>
      <c r="B17" s="49"/>
      <c r="C17" s="49"/>
      <c r="D17" s="99"/>
      <c r="E17" s="100"/>
      <c r="F17" s="27"/>
      <c r="J17" s="28"/>
      <c r="K17" s="100"/>
      <c r="L17" s="2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"/>
      <c r="Z17" s="1"/>
      <c r="AA17" s="1"/>
      <c r="AB17" s="1"/>
    </row>
    <row r="18" ht="4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46.5" customHeight="1">
      <c r="A19" s="65"/>
      <c r="B19" s="109" t="s">
        <v>16</v>
      </c>
      <c r="C19" s="109" t="s">
        <v>23</v>
      </c>
      <c r="D19" s="109" t="s">
        <v>24</v>
      </c>
      <c r="E19" s="109" t="s">
        <v>25</v>
      </c>
      <c r="F19" s="109" t="s">
        <v>26</v>
      </c>
      <c r="G19" s="109" t="s">
        <v>65</v>
      </c>
      <c r="H19" s="109" t="s">
        <v>29</v>
      </c>
      <c r="I19" s="111" t="s">
        <v>66</v>
      </c>
      <c r="J19" s="109" t="s">
        <v>34</v>
      </c>
      <c r="K19" s="109" t="s">
        <v>67</v>
      </c>
      <c r="L19" s="109" t="s">
        <v>36</v>
      </c>
      <c r="M19" s="65"/>
      <c r="N19" s="65"/>
      <c r="O19" s="65"/>
      <c r="P19" s="65"/>
      <c r="Q19" s="2"/>
      <c r="R19" s="65"/>
      <c r="S19" s="65"/>
      <c r="T19" s="65"/>
      <c r="U19" s="65"/>
      <c r="V19" s="65"/>
      <c r="W19" s="65"/>
      <c r="X19" s="65"/>
      <c r="Y19" s="65"/>
      <c r="Z19" s="1"/>
      <c r="AA19" s="1"/>
      <c r="AB19" s="1"/>
    </row>
    <row r="20" ht="32.25" customHeight="1">
      <c r="A20" s="65"/>
      <c r="B20" s="112" t="s">
        <v>71</v>
      </c>
      <c r="C20" s="115"/>
      <c r="D20" s="115"/>
      <c r="E20" s="117"/>
      <c r="F20" s="115"/>
      <c r="G20" s="115"/>
      <c r="H20" s="115"/>
      <c r="I20" s="115"/>
      <c r="J20" s="115"/>
      <c r="K20" s="115"/>
      <c r="L20" s="115"/>
      <c r="M20" s="65"/>
      <c r="N20" s="65"/>
      <c r="O20" s="65"/>
      <c r="P20" s="65"/>
      <c r="Q20" s="2"/>
      <c r="R20" s="65"/>
      <c r="S20" s="65"/>
      <c r="T20" s="65"/>
      <c r="U20" s="65"/>
      <c r="V20" s="65"/>
      <c r="W20" s="65"/>
      <c r="X20" s="65"/>
      <c r="Y20" s="65"/>
      <c r="Z20" s="1"/>
      <c r="AA20" s="1"/>
      <c r="AB20" s="1"/>
    </row>
    <row r="21">
      <c r="A21" s="65"/>
      <c r="B21" s="119" t="s">
        <v>72</v>
      </c>
      <c r="C21" s="119" t="s">
        <v>74</v>
      </c>
      <c r="D21" s="120">
        <v>1.0</v>
      </c>
      <c r="E21" s="121" t="s">
        <v>77</v>
      </c>
      <c r="F21" s="119" t="s">
        <v>78</v>
      </c>
      <c r="G21" s="119" t="s">
        <v>79</v>
      </c>
      <c r="H21" s="123" t="s">
        <v>80</v>
      </c>
      <c r="I21" s="124"/>
      <c r="J21" s="125"/>
      <c r="K21" s="120" t="s">
        <v>64</v>
      </c>
      <c r="L21" s="120"/>
      <c r="M21" s="65"/>
      <c r="N21" s="65"/>
      <c r="O21" s="65"/>
      <c r="P21" s="65"/>
      <c r="Q21" s="2"/>
      <c r="R21" s="65"/>
      <c r="S21" s="65"/>
      <c r="T21" s="65"/>
      <c r="U21" s="65"/>
      <c r="V21" s="65"/>
      <c r="W21" s="65"/>
      <c r="X21" s="65"/>
      <c r="Y21" s="65"/>
      <c r="Z21" s="1"/>
      <c r="AA21" s="1"/>
      <c r="AB21" s="1"/>
    </row>
    <row r="22">
      <c r="A22" s="65"/>
      <c r="B22" s="119" t="s">
        <v>72</v>
      </c>
      <c r="C22" s="119" t="s">
        <v>74</v>
      </c>
      <c r="D22" s="120"/>
      <c r="E22" s="121" t="s">
        <v>84</v>
      </c>
      <c r="F22" s="119" t="s">
        <v>85</v>
      </c>
      <c r="G22" s="119" t="s">
        <v>86</v>
      </c>
      <c r="H22" s="123" t="s">
        <v>80</v>
      </c>
      <c r="I22" s="124"/>
      <c r="J22" s="125"/>
      <c r="K22" s="120" t="s">
        <v>64</v>
      </c>
      <c r="L22" s="120"/>
      <c r="M22" s="65"/>
      <c r="N22" s="65"/>
      <c r="O22" s="65"/>
      <c r="P22" s="65"/>
      <c r="Q22" s="2"/>
      <c r="R22" s="65"/>
      <c r="S22" s="65"/>
      <c r="T22" s="65"/>
      <c r="U22" s="65"/>
      <c r="V22" s="65"/>
      <c r="W22" s="65"/>
      <c r="X22" s="65"/>
      <c r="Y22" s="65"/>
      <c r="Z22" s="1"/>
      <c r="AA22" s="1"/>
      <c r="AB22" s="1"/>
    </row>
    <row r="23">
      <c r="A23" s="65"/>
      <c r="B23" s="127" t="s">
        <v>72</v>
      </c>
      <c r="C23" s="128" t="s">
        <v>74</v>
      </c>
      <c r="D23" s="128"/>
      <c r="E23" s="121" t="s">
        <v>89</v>
      </c>
      <c r="F23" s="128" t="s">
        <v>90</v>
      </c>
      <c r="G23" s="128" t="s">
        <v>91</v>
      </c>
      <c r="H23" s="123" t="s">
        <v>80</v>
      </c>
      <c r="I23" s="124"/>
      <c r="J23" s="125"/>
      <c r="K23" s="120" t="s">
        <v>64</v>
      </c>
      <c r="L23" s="120"/>
      <c r="M23" s="65"/>
      <c r="N23" s="65"/>
      <c r="O23" s="65"/>
      <c r="P23" s="65"/>
      <c r="Q23" s="2"/>
      <c r="R23" s="65"/>
      <c r="S23" s="65"/>
      <c r="T23" s="65"/>
      <c r="U23" s="65"/>
      <c r="V23" s="65"/>
      <c r="W23" s="65"/>
      <c r="X23" s="65"/>
      <c r="Y23" s="65"/>
      <c r="Z23" s="1"/>
      <c r="AA23" s="1"/>
      <c r="AB23" s="1"/>
    </row>
    <row r="24">
      <c r="A24" s="65"/>
      <c r="B24" s="119" t="s">
        <v>72</v>
      </c>
      <c r="C24" s="119" t="s">
        <v>74</v>
      </c>
      <c r="D24" s="120"/>
      <c r="E24" s="121" t="s">
        <v>94</v>
      </c>
      <c r="F24" s="119" t="s">
        <v>95</v>
      </c>
      <c r="G24" s="131" t="s">
        <v>96</v>
      </c>
      <c r="H24" s="123" t="s">
        <v>80</v>
      </c>
      <c r="I24" s="124"/>
      <c r="J24" s="125"/>
      <c r="K24" s="120" t="s">
        <v>64</v>
      </c>
      <c r="L24" s="120"/>
      <c r="M24" s="65"/>
      <c r="N24" s="65"/>
      <c r="O24" s="65"/>
      <c r="P24" s="65"/>
      <c r="Q24" s="2"/>
      <c r="R24" s="65"/>
      <c r="S24" s="65"/>
      <c r="T24" s="65"/>
      <c r="U24" s="65"/>
      <c r="V24" s="65"/>
      <c r="W24" s="65"/>
      <c r="X24" s="65"/>
      <c r="Y24" s="65"/>
      <c r="Z24" s="1"/>
      <c r="AA24" s="1"/>
      <c r="AB24" s="1"/>
    </row>
    <row r="25">
      <c r="A25" s="65"/>
      <c r="B25" s="119" t="s">
        <v>72</v>
      </c>
      <c r="C25" s="119" t="s">
        <v>74</v>
      </c>
      <c r="D25" s="120"/>
      <c r="E25" s="121" t="s">
        <v>99</v>
      </c>
      <c r="F25" s="119" t="s">
        <v>100</v>
      </c>
      <c r="G25" s="131" t="s">
        <v>101</v>
      </c>
      <c r="H25" s="123" t="s">
        <v>80</v>
      </c>
      <c r="I25" s="124"/>
      <c r="J25" s="125"/>
      <c r="K25" s="120" t="s">
        <v>64</v>
      </c>
      <c r="L25" s="120"/>
      <c r="M25" s="65"/>
      <c r="N25" s="65"/>
      <c r="O25" s="65"/>
      <c r="P25" s="65"/>
      <c r="Q25" s="2"/>
      <c r="R25" s="65"/>
      <c r="S25" s="65"/>
      <c r="T25" s="65"/>
      <c r="U25" s="65"/>
      <c r="V25" s="65"/>
      <c r="W25" s="65"/>
      <c r="X25" s="65"/>
      <c r="Y25" s="65"/>
      <c r="Z25" s="1"/>
      <c r="AA25" s="1"/>
      <c r="AB25" s="1"/>
    </row>
    <row r="26">
      <c r="A26" s="65"/>
      <c r="B26" s="119" t="s">
        <v>72</v>
      </c>
      <c r="C26" s="133" t="s">
        <v>102</v>
      </c>
      <c r="D26" s="134"/>
      <c r="E26" s="135" t="s">
        <v>105</v>
      </c>
      <c r="F26" s="119" t="s">
        <v>107</v>
      </c>
      <c r="G26" s="131" t="s">
        <v>108</v>
      </c>
      <c r="H26" s="123" t="s">
        <v>80</v>
      </c>
      <c r="I26" s="124"/>
      <c r="J26" s="125"/>
      <c r="K26" s="120" t="s">
        <v>64</v>
      </c>
      <c r="L26" s="120"/>
      <c r="M26" s="65"/>
      <c r="N26" s="65"/>
      <c r="O26" s="65"/>
      <c r="P26" s="65"/>
      <c r="Q26" s="2"/>
      <c r="R26" s="65"/>
      <c r="S26" s="65"/>
      <c r="T26" s="65"/>
      <c r="U26" s="65"/>
      <c r="V26" s="65"/>
      <c r="W26" s="65"/>
      <c r="X26" s="65"/>
      <c r="Y26" s="65"/>
      <c r="Z26" s="1"/>
      <c r="AA26" s="1"/>
      <c r="AB26" s="1"/>
    </row>
    <row r="27">
      <c r="A27" s="65"/>
      <c r="B27" s="127" t="s">
        <v>72</v>
      </c>
      <c r="C27" s="137" t="s">
        <v>102</v>
      </c>
      <c r="D27" s="137"/>
      <c r="E27" s="135" t="s">
        <v>110</v>
      </c>
      <c r="F27" s="128" t="s">
        <v>111</v>
      </c>
      <c r="G27" s="128" t="s">
        <v>108</v>
      </c>
      <c r="H27" s="123" t="s">
        <v>80</v>
      </c>
      <c r="I27" s="124"/>
      <c r="J27" s="125"/>
      <c r="K27" s="120" t="s">
        <v>64</v>
      </c>
      <c r="L27" s="120"/>
      <c r="M27" s="65"/>
      <c r="N27" s="65"/>
      <c r="O27" s="65"/>
      <c r="P27" s="65"/>
      <c r="Q27" s="2"/>
      <c r="R27" s="65"/>
      <c r="S27" s="65"/>
      <c r="T27" s="65"/>
      <c r="U27" s="65"/>
      <c r="V27" s="65"/>
      <c r="W27" s="65"/>
      <c r="X27" s="65"/>
      <c r="Y27" s="65"/>
      <c r="Z27" s="1"/>
      <c r="AA27" s="1"/>
      <c r="AB27" s="1"/>
    </row>
    <row r="28">
      <c r="A28" s="65"/>
      <c r="B28" s="119" t="s">
        <v>72</v>
      </c>
      <c r="C28" s="133" t="s">
        <v>102</v>
      </c>
      <c r="D28" s="134"/>
      <c r="E28" s="135" t="s">
        <v>115</v>
      </c>
      <c r="F28" s="119" t="s">
        <v>116</v>
      </c>
      <c r="G28" s="119" t="s">
        <v>117</v>
      </c>
      <c r="H28" s="123" t="s">
        <v>80</v>
      </c>
      <c r="I28" s="124"/>
      <c r="J28" s="125"/>
      <c r="K28" s="120" t="s">
        <v>64</v>
      </c>
      <c r="L28" s="120"/>
      <c r="M28" s="65"/>
      <c r="N28" s="65"/>
      <c r="O28" s="65"/>
      <c r="P28" s="65"/>
      <c r="Q28" s="2"/>
      <c r="R28" s="65"/>
      <c r="S28" s="65"/>
      <c r="T28" s="65"/>
      <c r="U28" s="65"/>
      <c r="V28" s="65"/>
      <c r="W28" s="65"/>
      <c r="X28" s="65"/>
      <c r="Y28" s="65"/>
      <c r="Z28" s="1"/>
      <c r="AA28" s="1"/>
      <c r="AB28" s="1"/>
    </row>
    <row r="29">
      <c r="A29" s="65"/>
      <c r="B29" s="119" t="s">
        <v>72</v>
      </c>
      <c r="C29" s="133" t="s">
        <v>102</v>
      </c>
      <c r="D29" s="134"/>
      <c r="E29" s="135" t="s">
        <v>119</v>
      </c>
      <c r="F29" s="119" t="s">
        <v>120</v>
      </c>
      <c r="G29" s="119" t="s">
        <v>121</v>
      </c>
      <c r="H29" s="123" t="s">
        <v>80</v>
      </c>
      <c r="I29" s="124"/>
      <c r="J29" s="125"/>
      <c r="K29" s="120" t="s">
        <v>64</v>
      </c>
      <c r="L29" s="120"/>
      <c r="M29" s="65"/>
      <c r="N29" s="65"/>
      <c r="O29" s="65"/>
      <c r="P29" s="65"/>
      <c r="Q29" s="2"/>
      <c r="R29" s="65"/>
      <c r="S29" s="65"/>
      <c r="T29" s="65"/>
      <c r="U29" s="65"/>
      <c r="V29" s="65"/>
      <c r="W29" s="65"/>
      <c r="X29" s="65"/>
      <c r="Y29" s="65"/>
      <c r="Z29" s="1"/>
      <c r="AA29" s="1"/>
      <c r="AB29" s="1"/>
    </row>
    <row r="30">
      <c r="A30" s="65"/>
      <c r="B30" s="119" t="s">
        <v>72</v>
      </c>
      <c r="C30" s="133" t="s">
        <v>102</v>
      </c>
      <c r="D30" s="134"/>
      <c r="E30" s="135" t="s">
        <v>124</v>
      </c>
      <c r="F30" s="119" t="s">
        <v>125</v>
      </c>
      <c r="G30" s="119" t="s">
        <v>126</v>
      </c>
      <c r="H30" s="123" t="s">
        <v>80</v>
      </c>
      <c r="I30" s="124"/>
      <c r="J30" s="125"/>
      <c r="K30" s="120" t="s">
        <v>64</v>
      </c>
      <c r="L30" s="120"/>
      <c r="M30" s="65"/>
      <c r="N30" s="65"/>
      <c r="O30" s="65"/>
      <c r="P30" s="65"/>
      <c r="Q30" s="2"/>
      <c r="R30" s="65"/>
      <c r="S30" s="65"/>
      <c r="T30" s="65"/>
      <c r="U30" s="65"/>
      <c r="V30" s="65"/>
      <c r="W30" s="65"/>
      <c r="X30" s="65"/>
      <c r="Y30" s="65"/>
      <c r="Z30" s="1"/>
      <c r="AA30" s="1"/>
      <c r="AB30" s="1"/>
    </row>
    <row r="31">
      <c r="A31" s="65"/>
      <c r="B31" s="119" t="s">
        <v>72</v>
      </c>
      <c r="C31" s="133" t="s">
        <v>102</v>
      </c>
      <c r="D31" s="134"/>
      <c r="E31" s="135" t="s">
        <v>129</v>
      </c>
      <c r="F31" s="119" t="s">
        <v>131</v>
      </c>
      <c r="G31" s="119" t="s">
        <v>132</v>
      </c>
      <c r="H31" s="123" t="s">
        <v>80</v>
      </c>
      <c r="I31" s="124"/>
      <c r="J31" s="125"/>
      <c r="K31" s="120" t="s">
        <v>64</v>
      </c>
      <c r="L31" s="120"/>
      <c r="M31" s="65"/>
      <c r="N31" s="65"/>
      <c r="O31" s="65"/>
      <c r="P31" s="65"/>
      <c r="Q31" s="2"/>
      <c r="R31" s="65"/>
      <c r="S31" s="65"/>
      <c r="T31" s="65"/>
      <c r="U31" s="65"/>
      <c r="V31" s="65"/>
      <c r="W31" s="65"/>
      <c r="X31" s="65"/>
      <c r="Y31" s="65"/>
      <c r="Z31" s="1"/>
      <c r="AA31" s="1"/>
      <c r="AB31" s="1"/>
    </row>
    <row r="32" ht="32.25" customHeight="1">
      <c r="A32" s="65"/>
      <c r="B32" s="112" t="s">
        <v>134</v>
      </c>
      <c r="C32" s="115"/>
      <c r="D32" s="115"/>
      <c r="E32" s="117"/>
      <c r="F32" s="115"/>
      <c r="G32" s="115"/>
      <c r="H32" s="115"/>
      <c r="I32" s="115"/>
      <c r="J32" s="115"/>
      <c r="K32" s="115"/>
      <c r="L32" s="115"/>
      <c r="M32" s="65"/>
      <c r="N32" s="65"/>
      <c r="O32" s="65"/>
      <c r="P32" s="65"/>
      <c r="Q32" s="2"/>
      <c r="R32" s="65"/>
      <c r="S32" s="65"/>
      <c r="T32" s="65"/>
      <c r="U32" s="65"/>
      <c r="V32" s="65"/>
      <c r="W32" s="65"/>
      <c r="X32" s="65"/>
      <c r="Y32" s="65"/>
      <c r="Z32" s="1"/>
      <c r="AA32" s="1"/>
      <c r="AB32" s="1"/>
    </row>
    <row r="33">
      <c r="A33" s="65"/>
      <c r="B33" s="119" t="s">
        <v>72</v>
      </c>
      <c r="C33" s="119" t="s">
        <v>74</v>
      </c>
      <c r="D33" s="120">
        <v>2.0</v>
      </c>
      <c r="E33" s="121" t="s">
        <v>138</v>
      </c>
      <c r="F33" s="119" t="s">
        <v>139</v>
      </c>
      <c r="G33" s="119" t="s">
        <v>79</v>
      </c>
      <c r="H33" s="123" t="s">
        <v>80</v>
      </c>
      <c r="I33" s="124"/>
      <c r="J33" s="125"/>
      <c r="K33" s="120" t="s">
        <v>64</v>
      </c>
      <c r="L33" s="120"/>
      <c r="M33" s="65"/>
      <c r="N33" s="65"/>
      <c r="O33" s="65"/>
      <c r="P33" s="65"/>
      <c r="Q33" s="2"/>
      <c r="R33" s="65"/>
      <c r="S33" s="65"/>
      <c r="T33" s="65"/>
      <c r="U33" s="65"/>
      <c r="V33" s="65"/>
      <c r="W33" s="65"/>
      <c r="X33" s="65"/>
      <c r="Y33" s="65"/>
      <c r="Z33" s="1"/>
      <c r="AA33" s="1"/>
      <c r="AB33" s="1"/>
    </row>
    <row r="34">
      <c r="A34" s="65"/>
      <c r="B34" s="119" t="s">
        <v>72</v>
      </c>
      <c r="C34" s="119" t="s">
        <v>74</v>
      </c>
      <c r="D34" s="120"/>
      <c r="E34" s="121" t="s">
        <v>143</v>
      </c>
      <c r="F34" s="119" t="s">
        <v>144</v>
      </c>
      <c r="G34" s="119" t="s">
        <v>86</v>
      </c>
      <c r="H34" s="123" t="s">
        <v>80</v>
      </c>
      <c r="I34" s="124"/>
      <c r="J34" s="125"/>
      <c r="K34" s="120" t="s">
        <v>64</v>
      </c>
      <c r="L34" s="120"/>
      <c r="M34" s="65"/>
      <c r="N34" s="65"/>
      <c r="O34" s="65"/>
      <c r="P34" s="65"/>
      <c r="Q34" s="2"/>
      <c r="R34" s="65"/>
      <c r="S34" s="65"/>
      <c r="T34" s="65"/>
      <c r="U34" s="65"/>
      <c r="V34" s="65"/>
      <c r="W34" s="65"/>
      <c r="X34" s="65"/>
      <c r="Y34" s="65"/>
      <c r="Z34" s="1"/>
      <c r="AA34" s="1"/>
      <c r="AB34" s="1"/>
    </row>
    <row r="35">
      <c r="A35" s="65"/>
      <c r="B35" s="119" t="s">
        <v>72</v>
      </c>
      <c r="C35" s="119" t="s">
        <v>74</v>
      </c>
      <c r="D35" s="120"/>
      <c r="E35" s="121" t="s">
        <v>148</v>
      </c>
      <c r="F35" s="119" t="s">
        <v>149</v>
      </c>
      <c r="G35" s="119" t="s">
        <v>91</v>
      </c>
      <c r="H35" s="123" t="s">
        <v>80</v>
      </c>
      <c r="I35" s="124"/>
      <c r="J35" s="125"/>
      <c r="K35" s="120" t="s">
        <v>64</v>
      </c>
      <c r="L35" s="120"/>
      <c r="M35" s="65"/>
      <c r="N35" s="65"/>
      <c r="O35" s="65"/>
      <c r="P35" s="65"/>
      <c r="Q35" s="2"/>
      <c r="R35" s="65"/>
      <c r="S35" s="65"/>
      <c r="T35" s="65"/>
      <c r="U35" s="65"/>
      <c r="V35" s="65"/>
      <c r="W35" s="65"/>
      <c r="X35" s="65"/>
      <c r="Y35" s="65"/>
      <c r="Z35" s="1"/>
      <c r="AA35" s="1"/>
      <c r="AB35" s="1"/>
    </row>
    <row r="36">
      <c r="A36" s="65"/>
      <c r="B36" s="119" t="s">
        <v>72</v>
      </c>
      <c r="C36" s="119" t="s">
        <v>74</v>
      </c>
      <c r="D36" s="120"/>
      <c r="E36" s="121" t="s">
        <v>151</v>
      </c>
      <c r="F36" s="119" t="s">
        <v>152</v>
      </c>
      <c r="G36" s="119" t="s">
        <v>96</v>
      </c>
      <c r="H36" s="123" t="s">
        <v>80</v>
      </c>
      <c r="I36" s="124"/>
      <c r="J36" s="125"/>
      <c r="K36" s="120" t="s">
        <v>64</v>
      </c>
      <c r="L36" s="120"/>
      <c r="M36" s="65"/>
      <c r="N36" s="65"/>
      <c r="O36" s="65"/>
      <c r="P36" s="65"/>
      <c r="Q36" s="2"/>
      <c r="R36" s="65"/>
      <c r="S36" s="65"/>
      <c r="T36" s="65"/>
      <c r="U36" s="65"/>
      <c r="V36" s="65"/>
      <c r="W36" s="65"/>
      <c r="X36" s="65"/>
      <c r="Y36" s="65"/>
      <c r="Z36" s="1"/>
      <c r="AA36" s="1"/>
      <c r="AB36" s="1"/>
    </row>
    <row r="37">
      <c r="A37" s="65"/>
      <c r="B37" s="119" t="s">
        <v>72</v>
      </c>
      <c r="C37" s="119" t="s">
        <v>74</v>
      </c>
      <c r="D37" s="120"/>
      <c r="E37" s="121" t="s">
        <v>154</v>
      </c>
      <c r="F37" s="119" t="s">
        <v>155</v>
      </c>
      <c r="G37" s="119" t="s">
        <v>101</v>
      </c>
      <c r="H37" s="123" t="s">
        <v>80</v>
      </c>
      <c r="I37" s="124"/>
      <c r="J37" s="125"/>
      <c r="K37" s="120" t="s">
        <v>64</v>
      </c>
      <c r="L37" s="120"/>
      <c r="M37" s="65"/>
      <c r="N37" s="65"/>
      <c r="O37" s="65"/>
      <c r="P37" s="65"/>
      <c r="Q37" s="2"/>
      <c r="R37" s="65"/>
      <c r="S37" s="65"/>
      <c r="T37" s="65"/>
      <c r="U37" s="65"/>
      <c r="V37" s="65"/>
      <c r="W37" s="65"/>
      <c r="X37" s="65"/>
      <c r="Y37" s="65"/>
      <c r="Z37" s="1"/>
      <c r="AA37" s="1"/>
      <c r="AB37" s="1"/>
    </row>
    <row r="38">
      <c r="A38" s="65"/>
      <c r="B38" s="119" t="s">
        <v>72</v>
      </c>
      <c r="C38" s="119" t="s">
        <v>157</v>
      </c>
      <c r="D38" s="120"/>
      <c r="E38" s="135" t="s">
        <v>158</v>
      </c>
      <c r="F38" s="119" t="s">
        <v>159</v>
      </c>
      <c r="G38" s="119" t="s">
        <v>160</v>
      </c>
      <c r="H38" s="123" t="s">
        <v>80</v>
      </c>
      <c r="I38" s="124"/>
      <c r="J38" s="125"/>
      <c r="K38" s="120" t="s">
        <v>64</v>
      </c>
      <c r="L38" s="120"/>
      <c r="M38" s="65"/>
      <c r="N38" s="65"/>
      <c r="O38" s="65"/>
      <c r="P38" s="65"/>
      <c r="Q38" s="2"/>
      <c r="R38" s="65"/>
      <c r="S38" s="65"/>
      <c r="T38" s="65"/>
      <c r="U38" s="65"/>
      <c r="V38" s="65"/>
      <c r="W38" s="65"/>
      <c r="X38" s="65"/>
      <c r="Y38" s="65"/>
      <c r="Z38" s="1"/>
      <c r="AA38" s="1"/>
      <c r="AB38" s="1"/>
    </row>
    <row r="39">
      <c r="A39" s="65"/>
      <c r="B39" s="119" t="s">
        <v>72</v>
      </c>
      <c r="C39" s="119" t="s">
        <v>157</v>
      </c>
      <c r="D39" s="120"/>
      <c r="E39" s="135" t="s">
        <v>162</v>
      </c>
      <c r="F39" s="119" t="s">
        <v>163</v>
      </c>
      <c r="G39" s="119" t="s">
        <v>164</v>
      </c>
      <c r="H39" s="123" t="s">
        <v>80</v>
      </c>
      <c r="I39" s="124"/>
      <c r="J39" s="125"/>
      <c r="K39" s="120" t="s">
        <v>64</v>
      </c>
      <c r="L39" s="120"/>
      <c r="M39" s="65"/>
      <c r="N39" s="65"/>
      <c r="O39" s="65"/>
      <c r="P39" s="65"/>
      <c r="Q39" s="2"/>
      <c r="R39" s="65"/>
      <c r="S39" s="65"/>
      <c r="T39" s="65"/>
      <c r="U39" s="65"/>
      <c r="V39" s="65"/>
      <c r="W39" s="65"/>
      <c r="X39" s="65"/>
      <c r="Y39" s="65"/>
      <c r="Z39" s="1"/>
      <c r="AA39" s="1"/>
      <c r="AB39" s="1"/>
    </row>
    <row r="40">
      <c r="A40" s="65"/>
      <c r="B40" s="119" t="s">
        <v>72</v>
      </c>
      <c r="C40" s="119" t="s">
        <v>157</v>
      </c>
      <c r="D40" s="120"/>
      <c r="E40" s="135" t="s">
        <v>166</v>
      </c>
      <c r="F40" s="119" t="s">
        <v>167</v>
      </c>
      <c r="G40" s="131" t="s">
        <v>168</v>
      </c>
      <c r="H40" s="123" t="s">
        <v>80</v>
      </c>
      <c r="I40" s="124"/>
      <c r="J40" s="125"/>
      <c r="K40" s="120" t="s">
        <v>64</v>
      </c>
      <c r="L40" s="120"/>
      <c r="M40" s="65"/>
      <c r="N40" s="65"/>
      <c r="O40" s="65"/>
      <c r="P40" s="65"/>
      <c r="Q40" s="2"/>
      <c r="R40" s="65"/>
      <c r="S40" s="65"/>
      <c r="T40" s="65"/>
      <c r="U40" s="65"/>
      <c r="V40" s="65"/>
      <c r="W40" s="65"/>
      <c r="X40" s="65"/>
      <c r="Y40" s="65"/>
      <c r="Z40" s="1"/>
      <c r="AA40" s="1"/>
      <c r="AB40" s="1"/>
    </row>
    <row r="41" ht="32.25" customHeight="1">
      <c r="A41" s="65"/>
      <c r="B41" s="112" t="s">
        <v>169</v>
      </c>
      <c r="C41" s="115"/>
      <c r="D41" s="115"/>
      <c r="E41" s="117"/>
      <c r="F41" s="115"/>
      <c r="G41" s="115"/>
      <c r="H41" s="115"/>
      <c r="I41" s="115"/>
      <c r="J41" s="115"/>
      <c r="K41" s="115"/>
      <c r="L41" s="115"/>
      <c r="M41" s="65"/>
      <c r="N41" s="65"/>
      <c r="O41" s="65"/>
      <c r="P41" s="65"/>
      <c r="Q41" s="2"/>
      <c r="R41" s="65"/>
      <c r="S41" s="65"/>
      <c r="T41" s="65"/>
      <c r="U41" s="65"/>
      <c r="V41" s="65"/>
      <c r="W41" s="65"/>
      <c r="X41" s="65"/>
      <c r="Y41" s="65"/>
      <c r="Z41" s="1"/>
      <c r="AA41" s="1"/>
      <c r="AB41" s="1"/>
    </row>
    <row r="42" ht="198.0" customHeight="1">
      <c r="A42" s="65"/>
      <c r="B42" s="119" t="s">
        <v>72</v>
      </c>
      <c r="C42" s="119" t="s">
        <v>74</v>
      </c>
      <c r="D42" s="120">
        <v>3.0</v>
      </c>
      <c r="E42" s="121" t="s">
        <v>171</v>
      </c>
      <c r="F42" s="119" t="s">
        <v>172</v>
      </c>
      <c r="G42" s="119" t="s">
        <v>79</v>
      </c>
      <c r="H42" s="123" t="s">
        <v>18</v>
      </c>
      <c r="I42" s="159" t="s">
        <v>173</v>
      </c>
      <c r="J42" s="125"/>
      <c r="K42" s="120" t="s">
        <v>64</v>
      </c>
      <c r="L42" s="120"/>
      <c r="M42" s="65"/>
      <c r="N42" s="65"/>
      <c r="O42" s="65"/>
      <c r="P42" s="65"/>
      <c r="Q42" s="2"/>
      <c r="R42" s="65"/>
      <c r="S42" s="65"/>
      <c r="T42" s="65"/>
      <c r="U42" s="65"/>
      <c r="V42" s="65"/>
      <c r="W42" s="65"/>
      <c r="X42" s="65"/>
      <c r="Y42" s="65"/>
      <c r="Z42" s="1"/>
      <c r="AA42" s="1"/>
      <c r="AB42" s="1"/>
    </row>
    <row r="43" ht="243.75" customHeight="1">
      <c r="A43" s="65"/>
      <c r="B43" s="119" t="s">
        <v>72</v>
      </c>
      <c r="C43" s="119" t="s">
        <v>74</v>
      </c>
      <c r="D43" s="120"/>
      <c r="E43" s="121" t="s">
        <v>174</v>
      </c>
      <c r="F43" s="119" t="s">
        <v>175</v>
      </c>
      <c r="G43" s="119" t="s">
        <v>86</v>
      </c>
      <c r="H43" s="123" t="s">
        <v>18</v>
      </c>
      <c r="I43" s="159" t="s">
        <v>176</v>
      </c>
      <c r="J43" s="125"/>
      <c r="K43" s="120" t="s">
        <v>64</v>
      </c>
      <c r="L43" s="120"/>
      <c r="M43" s="65"/>
      <c r="N43" s="65"/>
      <c r="O43" s="65"/>
      <c r="P43" s="65"/>
      <c r="Q43" s="2"/>
      <c r="R43" s="65"/>
      <c r="S43" s="65"/>
      <c r="T43" s="65"/>
      <c r="U43" s="65"/>
      <c r="V43" s="65"/>
      <c r="W43" s="65"/>
      <c r="X43" s="65"/>
      <c r="Y43" s="65"/>
      <c r="Z43" s="1"/>
      <c r="AA43" s="1"/>
      <c r="AB43" s="1"/>
    </row>
    <row r="44">
      <c r="A44" s="65"/>
      <c r="B44" s="119" t="s">
        <v>72</v>
      </c>
      <c r="C44" s="119" t="s">
        <v>74</v>
      </c>
      <c r="D44" s="120"/>
      <c r="E44" s="121" t="s">
        <v>177</v>
      </c>
      <c r="F44" s="119" t="s">
        <v>178</v>
      </c>
      <c r="G44" s="119" t="s">
        <v>91</v>
      </c>
      <c r="H44" s="123" t="s">
        <v>18</v>
      </c>
      <c r="I44" s="159" t="s">
        <v>179</v>
      </c>
      <c r="J44" s="125"/>
      <c r="K44" s="120" t="s">
        <v>64</v>
      </c>
      <c r="L44" s="120"/>
      <c r="M44" s="65"/>
      <c r="N44" s="65"/>
      <c r="O44" s="65"/>
      <c r="P44" s="65"/>
      <c r="Q44" s="2"/>
      <c r="R44" s="65"/>
      <c r="S44" s="65"/>
      <c r="T44" s="65"/>
      <c r="U44" s="65"/>
      <c r="V44" s="65"/>
      <c r="W44" s="65"/>
      <c r="X44" s="65"/>
      <c r="Y44" s="65"/>
      <c r="Z44" s="1"/>
      <c r="AA44" s="1"/>
      <c r="AB44" s="1"/>
    </row>
    <row r="45">
      <c r="A45" s="65"/>
      <c r="B45" s="119" t="s">
        <v>72</v>
      </c>
      <c r="C45" s="119" t="s">
        <v>74</v>
      </c>
      <c r="D45" s="120"/>
      <c r="E45" s="121" t="s">
        <v>180</v>
      </c>
      <c r="F45" s="119" t="s">
        <v>181</v>
      </c>
      <c r="G45" s="119" t="s">
        <v>96</v>
      </c>
      <c r="H45" s="123" t="s">
        <v>18</v>
      </c>
      <c r="I45" s="159" t="s">
        <v>183</v>
      </c>
      <c r="J45" s="125"/>
      <c r="K45" s="120" t="s">
        <v>64</v>
      </c>
      <c r="L45" s="120"/>
      <c r="M45" s="65"/>
      <c r="N45" s="65"/>
      <c r="O45" s="65"/>
      <c r="P45" s="65"/>
      <c r="Q45" s="2"/>
      <c r="R45" s="65"/>
      <c r="S45" s="65"/>
      <c r="T45" s="65"/>
      <c r="U45" s="65"/>
      <c r="V45" s="65"/>
      <c r="W45" s="65"/>
      <c r="X45" s="65"/>
      <c r="Y45" s="65"/>
      <c r="Z45" s="1"/>
      <c r="AA45" s="1"/>
      <c r="AB45" s="1"/>
    </row>
    <row r="46">
      <c r="A46" s="65"/>
      <c r="B46" s="119" t="s">
        <v>72</v>
      </c>
      <c r="C46" s="119" t="s">
        <v>74</v>
      </c>
      <c r="D46" s="120"/>
      <c r="E46" s="121" t="s">
        <v>184</v>
      </c>
      <c r="F46" s="119" t="s">
        <v>185</v>
      </c>
      <c r="G46" s="119" t="s">
        <v>101</v>
      </c>
      <c r="H46" s="123" t="s">
        <v>18</v>
      </c>
      <c r="I46" s="159" t="s">
        <v>186</v>
      </c>
      <c r="J46" s="125"/>
      <c r="K46" s="120" t="s">
        <v>64</v>
      </c>
      <c r="L46" s="120"/>
      <c r="M46" s="65"/>
      <c r="N46" s="65"/>
      <c r="O46" s="65"/>
      <c r="P46" s="65"/>
      <c r="Q46" s="2"/>
      <c r="R46" s="65"/>
      <c r="S46" s="65"/>
      <c r="T46" s="65"/>
      <c r="U46" s="65"/>
      <c r="V46" s="65"/>
      <c r="W46" s="65"/>
      <c r="X46" s="65"/>
      <c r="Y46" s="65"/>
      <c r="Z46" s="1"/>
      <c r="AA46" s="1"/>
      <c r="AB46" s="1"/>
    </row>
    <row r="47">
      <c r="A47" s="65"/>
      <c r="B47" s="119" t="s">
        <v>72</v>
      </c>
      <c r="C47" s="119" t="s">
        <v>187</v>
      </c>
      <c r="D47" s="120"/>
      <c r="E47" s="121" t="s">
        <v>188</v>
      </c>
      <c r="F47" s="119" t="s">
        <v>189</v>
      </c>
      <c r="G47" s="119" t="s">
        <v>190</v>
      </c>
      <c r="H47" s="123" t="s">
        <v>18</v>
      </c>
      <c r="I47" s="163" t="s">
        <v>191</v>
      </c>
      <c r="J47" s="125"/>
      <c r="K47" s="120" t="s">
        <v>64</v>
      </c>
      <c r="L47" s="120"/>
      <c r="M47" s="65"/>
      <c r="N47" s="65"/>
      <c r="O47" s="65"/>
      <c r="P47" s="65"/>
      <c r="Q47" s="2"/>
      <c r="R47" s="65"/>
      <c r="S47" s="65"/>
      <c r="T47" s="65"/>
      <c r="U47" s="65"/>
      <c r="V47" s="65"/>
      <c r="W47" s="65"/>
      <c r="X47" s="65"/>
      <c r="Y47" s="65"/>
      <c r="Z47" s="1"/>
      <c r="AA47" s="1"/>
      <c r="AB47" s="1"/>
    </row>
    <row r="48">
      <c r="A48" s="65"/>
      <c r="B48" s="119" t="s">
        <v>72</v>
      </c>
      <c r="C48" s="119" t="s">
        <v>187</v>
      </c>
      <c r="D48" s="120"/>
      <c r="E48" s="121" t="s">
        <v>192</v>
      </c>
      <c r="F48" s="119" t="s">
        <v>193</v>
      </c>
      <c r="G48" s="119" t="s">
        <v>194</v>
      </c>
      <c r="H48" s="123" t="s">
        <v>18</v>
      </c>
      <c r="I48" s="159" t="s">
        <v>195</v>
      </c>
      <c r="J48" s="125"/>
      <c r="K48" s="120" t="s">
        <v>64</v>
      </c>
      <c r="L48" s="120"/>
      <c r="M48" s="65"/>
      <c r="N48" s="65"/>
      <c r="O48" s="65"/>
      <c r="P48" s="65"/>
      <c r="Q48" s="2"/>
      <c r="R48" s="65"/>
      <c r="S48" s="65"/>
      <c r="T48" s="65"/>
      <c r="U48" s="65"/>
      <c r="V48" s="65"/>
      <c r="W48" s="65"/>
      <c r="X48" s="65"/>
      <c r="Y48" s="65"/>
      <c r="Z48" s="1"/>
      <c r="AA48" s="1"/>
      <c r="AB48" s="1"/>
    </row>
    <row r="49">
      <c r="A49" s="65"/>
      <c r="B49" s="167" t="s">
        <v>72</v>
      </c>
      <c r="C49" s="167" t="s">
        <v>196</v>
      </c>
      <c r="D49" s="168"/>
      <c r="E49" s="169" t="s">
        <v>197</v>
      </c>
      <c r="F49" s="167" t="s">
        <v>198</v>
      </c>
      <c r="G49" s="170" t="s">
        <v>199</v>
      </c>
      <c r="H49" s="171" t="s">
        <v>80</v>
      </c>
      <c r="I49" s="172"/>
      <c r="J49" s="173"/>
      <c r="K49" s="168" t="s">
        <v>64</v>
      </c>
      <c r="L49" s="174" t="s">
        <v>200</v>
      </c>
      <c r="M49" s="65"/>
      <c r="N49" s="65"/>
      <c r="O49" s="65"/>
      <c r="P49" s="65"/>
      <c r="Q49" s="2"/>
      <c r="R49" s="65"/>
      <c r="S49" s="65"/>
      <c r="T49" s="65"/>
      <c r="U49" s="65"/>
      <c r="V49" s="65"/>
      <c r="W49" s="65"/>
      <c r="X49" s="65"/>
      <c r="Y49" s="65"/>
      <c r="Z49" s="1"/>
      <c r="AA49" s="1"/>
      <c r="AB49" s="1"/>
    </row>
    <row r="50">
      <c r="A50" s="65"/>
      <c r="B50" s="175" t="s">
        <v>72</v>
      </c>
      <c r="C50" s="175" t="s">
        <v>196</v>
      </c>
      <c r="D50" s="175"/>
      <c r="E50" s="169" t="s">
        <v>201</v>
      </c>
      <c r="F50" s="175" t="s">
        <v>202</v>
      </c>
      <c r="G50" s="176" t="s">
        <v>203</v>
      </c>
      <c r="H50" s="171" t="s">
        <v>80</v>
      </c>
      <c r="I50" s="172"/>
      <c r="J50" s="173"/>
      <c r="K50" s="168" t="s">
        <v>64</v>
      </c>
      <c r="L50" s="174" t="s">
        <v>200</v>
      </c>
      <c r="M50" s="65"/>
      <c r="N50" s="65"/>
      <c r="O50" s="65"/>
      <c r="P50" s="65"/>
      <c r="Q50" s="2"/>
      <c r="R50" s="65"/>
      <c r="S50" s="65"/>
      <c r="T50" s="65"/>
      <c r="U50" s="65"/>
      <c r="V50" s="65"/>
      <c r="W50" s="65"/>
      <c r="X50" s="65"/>
      <c r="Y50" s="65"/>
      <c r="Z50" s="1"/>
      <c r="AA50" s="1"/>
      <c r="AB50" s="1"/>
    </row>
    <row r="51">
      <c r="A51" s="65"/>
      <c r="B51" s="177" t="s">
        <v>72</v>
      </c>
      <c r="C51" s="177" t="s">
        <v>204</v>
      </c>
      <c r="D51" s="175"/>
      <c r="E51" s="169" t="s">
        <v>205</v>
      </c>
      <c r="F51" s="175" t="s">
        <v>206</v>
      </c>
      <c r="G51" s="176" t="s">
        <v>207</v>
      </c>
      <c r="H51" s="171" t="s">
        <v>80</v>
      </c>
      <c r="I51" s="172"/>
      <c r="J51" s="173"/>
      <c r="K51" s="168" t="s">
        <v>64</v>
      </c>
      <c r="L51" s="174" t="s">
        <v>200</v>
      </c>
      <c r="M51" s="65"/>
      <c r="N51" s="65"/>
      <c r="O51" s="65"/>
      <c r="P51" s="65"/>
      <c r="Q51" s="2"/>
      <c r="R51" s="65"/>
      <c r="S51" s="65"/>
      <c r="T51" s="65"/>
      <c r="U51" s="65"/>
      <c r="V51" s="65"/>
      <c r="W51" s="65"/>
      <c r="X51" s="65"/>
      <c r="Y51" s="65"/>
      <c r="Z51" s="1"/>
      <c r="AA51" s="1"/>
      <c r="AB51" s="1"/>
    </row>
    <row r="52">
      <c r="A52" s="65"/>
      <c r="B52" s="177" t="s">
        <v>72</v>
      </c>
      <c r="C52" s="177" t="s">
        <v>204</v>
      </c>
      <c r="D52" s="177"/>
      <c r="E52" s="169" t="s">
        <v>208</v>
      </c>
      <c r="F52" s="177" t="s">
        <v>209</v>
      </c>
      <c r="G52" s="176" t="s">
        <v>210</v>
      </c>
      <c r="H52" s="171" t="s">
        <v>80</v>
      </c>
      <c r="I52" s="172"/>
      <c r="J52" s="173"/>
      <c r="K52" s="168" t="s">
        <v>64</v>
      </c>
      <c r="L52" s="174" t="s">
        <v>200</v>
      </c>
      <c r="M52" s="65"/>
      <c r="N52" s="65"/>
      <c r="O52" s="65"/>
      <c r="P52" s="65"/>
      <c r="Q52" s="2"/>
      <c r="R52" s="65"/>
      <c r="S52" s="65"/>
      <c r="T52" s="65"/>
      <c r="U52" s="65"/>
      <c r="V52" s="65"/>
      <c r="W52" s="65"/>
      <c r="X52" s="65"/>
      <c r="Y52" s="65"/>
      <c r="Z52" s="1"/>
      <c r="AA52" s="1"/>
      <c r="AB52" s="1"/>
    </row>
    <row r="53">
      <c r="A53" s="65"/>
      <c r="B53" s="177" t="s">
        <v>72</v>
      </c>
      <c r="C53" s="177" t="s">
        <v>211</v>
      </c>
      <c r="D53" s="177"/>
      <c r="E53" s="169" t="s">
        <v>212</v>
      </c>
      <c r="F53" s="177" t="s">
        <v>213</v>
      </c>
      <c r="G53" s="176" t="s">
        <v>214</v>
      </c>
      <c r="H53" s="171" t="s">
        <v>80</v>
      </c>
      <c r="I53" s="172"/>
      <c r="J53" s="173"/>
      <c r="K53" s="168" t="s">
        <v>64</v>
      </c>
      <c r="L53" s="174" t="s">
        <v>200</v>
      </c>
      <c r="M53" s="65"/>
      <c r="N53" s="65"/>
      <c r="O53" s="65"/>
      <c r="P53" s="65"/>
      <c r="Q53" s="2"/>
      <c r="R53" s="65"/>
      <c r="S53" s="65"/>
      <c r="T53" s="65"/>
      <c r="U53" s="65"/>
      <c r="V53" s="65"/>
      <c r="W53" s="65"/>
      <c r="X53" s="65"/>
      <c r="Y53" s="65"/>
      <c r="Z53" s="1"/>
      <c r="AA53" s="1"/>
      <c r="AB53" s="1"/>
    </row>
    <row r="54">
      <c r="A54" s="65"/>
      <c r="B54" s="177" t="s">
        <v>72</v>
      </c>
      <c r="C54" s="177" t="s">
        <v>215</v>
      </c>
      <c r="D54" s="177"/>
      <c r="E54" s="169" t="s">
        <v>216</v>
      </c>
      <c r="F54" s="177" t="s">
        <v>217</v>
      </c>
      <c r="G54" s="176" t="s">
        <v>218</v>
      </c>
      <c r="H54" s="171" t="s">
        <v>80</v>
      </c>
      <c r="I54" s="172"/>
      <c r="J54" s="173"/>
      <c r="K54" s="168" t="s">
        <v>64</v>
      </c>
      <c r="L54" s="174" t="s">
        <v>200</v>
      </c>
      <c r="M54" s="65"/>
      <c r="N54" s="65"/>
      <c r="O54" s="65"/>
      <c r="P54" s="65"/>
      <c r="Q54" s="2"/>
      <c r="R54" s="65"/>
      <c r="S54" s="65"/>
      <c r="T54" s="65"/>
      <c r="U54" s="65"/>
      <c r="V54" s="65"/>
      <c r="W54" s="65"/>
      <c r="X54" s="65"/>
      <c r="Y54" s="65"/>
      <c r="Z54" s="1"/>
      <c r="AA54" s="1"/>
      <c r="AB54" s="1"/>
    </row>
    <row r="55">
      <c r="A55" s="65"/>
      <c r="B55" s="177" t="s">
        <v>72</v>
      </c>
      <c r="C55" s="177" t="s">
        <v>215</v>
      </c>
      <c r="D55" s="177"/>
      <c r="E55" s="169" t="s">
        <v>219</v>
      </c>
      <c r="F55" s="177" t="s">
        <v>220</v>
      </c>
      <c r="G55" s="176" t="s">
        <v>221</v>
      </c>
      <c r="H55" s="171" t="s">
        <v>80</v>
      </c>
      <c r="I55" s="172"/>
      <c r="J55" s="173"/>
      <c r="K55" s="168" t="s">
        <v>64</v>
      </c>
      <c r="L55" s="174" t="s">
        <v>200</v>
      </c>
      <c r="M55" s="65"/>
      <c r="N55" s="65"/>
      <c r="O55" s="65"/>
      <c r="P55" s="65"/>
      <c r="Q55" s="2"/>
      <c r="R55" s="65"/>
      <c r="S55" s="65"/>
      <c r="T55" s="65"/>
      <c r="U55" s="65"/>
      <c r="V55" s="65"/>
      <c r="W55" s="65"/>
      <c r="X55" s="65"/>
      <c r="Y55" s="65"/>
      <c r="Z55" s="1"/>
      <c r="AA55" s="1"/>
      <c r="AB55" s="1"/>
    </row>
    <row r="56">
      <c r="A56" s="65"/>
      <c r="B56" s="178" t="s">
        <v>72</v>
      </c>
      <c r="C56" s="178" t="s">
        <v>222</v>
      </c>
      <c r="D56" s="178"/>
      <c r="E56" s="121" t="s">
        <v>223</v>
      </c>
      <c r="F56" s="179" t="s">
        <v>224</v>
      </c>
      <c r="G56" s="180" t="s">
        <v>225</v>
      </c>
      <c r="H56" s="123" t="s">
        <v>69</v>
      </c>
      <c r="I56" s="181" t="s">
        <v>226</v>
      </c>
      <c r="J56" s="125"/>
      <c r="K56" s="120"/>
      <c r="L56" s="120"/>
      <c r="M56" s="65"/>
      <c r="N56" s="65"/>
      <c r="O56" s="65"/>
      <c r="P56" s="65"/>
      <c r="Q56" s="2"/>
      <c r="R56" s="65"/>
      <c r="S56" s="65"/>
      <c r="T56" s="65"/>
      <c r="U56" s="65"/>
      <c r="V56" s="65"/>
      <c r="W56" s="65"/>
      <c r="X56" s="65"/>
      <c r="Y56" s="65"/>
      <c r="Z56" s="1"/>
      <c r="AA56" s="1"/>
      <c r="AB56" s="1"/>
    </row>
    <row r="57">
      <c r="A57" s="65"/>
      <c r="B57" s="178" t="s">
        <v>72</v>
      </c>
      <c r="C57" s="178" t="s">
        <v>222</v>
      </c>
      <c r="D57" s="178"/>
      <c r="E57" s="182" t="s">
        <v>227</v>
      </c>
      <c r="F57" s="178" t="s">
        <v>228</v>
      </c>
      <c r="G57" s="128" t="s">
        <v>229</v>
      </c>
      <c r="H57" s="123" t="s">
        <v>18</v>
      </c>
      <c r="I57" s="163" t="s">
        <v>230</v>
      </c>
      <c r="J57" s="125"/>
      <c r="K57" s="120" t="s">
        <v>64</v>
      </c>
      <c r="L57" s="120"/>
      <c r="M57" s="65"/>
      <c r="N57" s="65"/>
      <c r="O57" s="65"/>
      <c r="P57" s="65"/>
      <c r="Q57" s="2"/>
      <c r="R57" s="65"/>
      <c r="S57" s="65"/>
      <c r="T57" s="65"/>
      <c r="U57" s="65"/>
      <c r="V57" s="65"/>
      <c r="W57" s="65"/>
      <c r="X57" s="65"/>
      <c r="Y57" s="65"/>
      <c r="Z57" s="1"/>
      <c r="AA57" s="1"/>
      <c r="AB57" s="1"/>
    </row>
    <row r="58">
      <c r="A58" s="65"/>
      <c r="B58" s="178" t="s">
        <v>72</v>
      </c>
      <c r="C58" s="178" t="s">
        <v>222</v>
      </c>
      <c r="D58" s="178"/>
      <c r="E58" s="183" t="s">
        <v>231</v>
      </c>
      <c r="F58" s="184" t="s">
        <v>232</v>
      </c>
      <c r="G58" s="137" t="s">
        <v>233</v>
      </c>
      <c r="H58" s="123" t="s">
        <v>18</v>
      </c>
      <c r="I58" s="163" t="s">
        <v>234</v>
      </c>
      <c r="J58" s="125"/>
      <c r="K58" s="120" t="s">
        <v>64</v>
      </c>
      <c r="L58" s="120"/>
      <c r="M58" s="65"/>
      <c r="N58" s="65"/>
      <c r="O58" s="65"/>
      <c r="P58" s="65"/>
      <c r="Q58" s="2"/>
      <c r="R58" s="65"/>
      <c r="S58" s="65"/>
      <c r="T58" s="65"/>
      <c r="U58" s="65"/>
      <c r="V58" s="65"/>
      <c r="W58" s="65"/>
      <c r="X58" s="65"/>
      <c r="Y58" s="65"/>
      <c r="Z58" s="1"/>
      <c r="AA58" s="1"/>
      <c r="AB58" s="1"/>
    </row>
    <row r="59">
      <c r="A59" s="65"/>
      <c r="B59" s="185" t="s">
        <v>72</v>
      </c>
      <c r="C59" s="185" t="s">
        <v>235</v>
      </c>
      <c r="D59" s="185"/>
      <c r="E59" s="182" t="s">
        <v>236</v>
      </c>
      <c r="F59" s="185" t="s">
        <v>237</v>
      </c>
      <c r="G59" s="186" t="s">
        <v>238</v>
      </c>
      <c r="H59" s="123" t="s">
        <v>18</v>
      </c>
      <c r="I59" s="163" t="s">
        <v>239</v>
      </c>
      <c r="J59" s="125"/>
      <c r="K59" s="120" t="s">
        <v>64</v>
      </c>
      <c r="L59" s="120"/>
      <c r="M59" s="65"/>
      <c r="N59" s="65"/>
      <c r="O59" s="65"/>
      <c r="P59" s="65"/>
      <c r="Q59" s="2"/>
      <c r="R59" s="65"/>
      <c r="S59" s="65"/>
      <c r="T59" s="65"/>
      <c r="U59" s="65"/>
      <c r="V59" s="65"/>
      <c r="W59" s="65"/>
      <c r="X59" s="65"/>
      <c r="Y59" s="65"/>
      <c r="Z59" s="1"/>
      <c r="AA59" s="1"/>
      <c r="AB59" s="1"/>
    </row>
    <row r="60">
      <c r="A60" s="65"/>
      <c r="B60" s="175" t="s">
        <v>72</v>
      </c>
      <c r="C60" s="175" t="s">
        <v>235</v>
      </c>
      <c r="D60" s="187"/>
      <c r="E60" s="188" t="s">
        <v>240</v>
      </c>
      <c r="F60" s="175" t="s">
        <v>241</v>
      </c>
      <c r="G60" s="176" t="s">
        <v>238</v>
      </c>
      <c r="H60" s="189" t="s">
        <v>69</v>
      </c>
      <c r="I60" s="190"/>
      <c r="J60" s="191"/>
      <c r="K60" s="192" t="s">
        <v>64</v>
      </c>
      <c r="L60" s="174" t="s">
        <v>200</v>
      </c>
      <c r="M60" s="65"/>
      <c r="N60" s="65"/>
      <c r="O60" s="65"/>
      <c r="P60" s="65"/>
      <c r="Q60" s="2"/>
      <c r="R60" s="65"/>
      <c r="S60" s="65"/>
      <c r="T60" s="65"/>
      <c r="U60" s="65"/>
      <c r="V60" s="65"/>
      <c r="W60" s="65"/>
      <c r="X60" s="65"/>
      <c r="Y60" s="65"/>
      <c r="Z60" s="1"/>
      <c r="AA60" s="1"/>
      <c r="AB60" s="1"/>
    </row>
    <row r="61">
      <c r="A61" s="65"/>
      <c r="B61" s="185" t="s">
        <v>72</v>
      </c>
      <c r="C61" s="193" t="s">
        <v>242</v>
      </c>
      <c r="D61" s="185"/>
      <c r="E61" s="182" t="s">
        <v>243</v>
      </c>
      <c r="F61" s="193" t="s">
        <v>244</v>
      </c>
      <c r="G61" s="193" t="s">
        <v>245</v>
      </c>
      <c r="H61" s="194" t="s">
        <v>18</v>
      </c>
      <c r="I61" s="163" t="s">
        <v>246</v>
      </c>
      <c r="J61" s="195"/>
      <c r="K61" s="120" t="s">
        <v>64</v>
      </c>
      <c r="L61" s="120"/>
      <c r="M61" s="65"/>
      <c r="N61" s="65"/>
      <c r="O61" s="65"/>
      <c r="P61" s="65"/>
      <c r="Q61" s="2"/>
      <c r="R61" s="65"/>
      <c r="S61" s="65"/>
      <c r="T61" s="65"/>
      <c r="U61" s="65"/>
      <c r="V61" s="65"/>
      <c r="W61" s="65"/>
      <c r="X61" s="65"/>
      <c r="Y61" s="65"/>
      <c r="Z61" s="1"/>
      <c r="AA61" s="1"/>
      <c r="AB61" s="1"/>
    </row>
    <row r="62">
      <c r="A62" s="65"/>
      <c r="B62" s="175" t="s">
        <v>72</v>
      </c>
      <c r="C62" s="196" t="s">
        <v>242</v>
      </c>
      <c r="D62" s="197"/>
      <c r="E62" s="198" t="s">
        <v>247</v>
      </c>
      <c r="F62" s="196" t="s">
        <v>248</v>
      </c>
      <c r="G62" s="199" t="s">
        <v>249</v>
      </c>
      <c r="H62" s="171" t="s">
        <v>80</v>
      </c>
      <c r="I62" s="200"/>
      <c r="J62" s="197"/>
      <c r="K62" s="168" t="s">
        <v>64</v>
      </c>
      <c r="L62" s="174" t="s">
        <v>200</v>
      </c>
      <c r="M62" s="65"/>
      <c r="N62" s="65"/>
      <c r="O62" s="65"/>
      <c r="P62" s="65"/>
      <c r="Q62" s="2"/>
      <c r="R62" s="65"/>
      <c r="S62" s="65"/>
      <c r="T62" s="65"/>
      <c r="U62" s="65"/>
      <c r="V62" s="65"/>
      <c r="W62" s="65"/>
      <c r="X62" s="65"/>
      <c r="Y62" s="65"/>
      <c r="Z62" s="1"/>
      <c r="AA62" s="1"/>
      <c r="AB62" s="1"/>
    </row>
    <row r="63" ht="32.25" customHeight="1">
      <c r="A63" s="65"/>
      <c r="B63" s="112" t="s">
        <v>250</v>
      </c>
      <c r="C63" s="115"/>
      <c r="D63" s="201"/>
      <c r="E63" s="202"/>
      <c r="F63" s="115"/>
      <c r="G63" s="203"/>
      <c r="H63" s="115"/>
      <c r="I63" s="204"/>
      <c r="J63" s="201"/>
      <c r="K63" s="201"/>
      <c r="L63" s="201"/>
      <c r="M63" s="65"/>
      <c r="N63" s="65"/>
      <c r="O63" s="65"/>
      <c r="P63" s="65"/>
      <c r="Q63" s="2"/>
      <c r="R63" s="65"/>
      <c r="S63" s="65"/>
      <c r="T63" s="65"/>
      <c r="U63" s="65"/>
      <c r="V63" s="65"/>
      <c r="W63" s="65"/>
      <c r="X63" s="65"/>
      <c r="Y63" s="65"/>
      <c r="Z63" s="1"/>
      <c r="AA63" s="1"/>
      <c r="AB63" s="1"/>
    </row>
    <row r="64">
      <c r="A64" s="65"/>
      <c r="B64" s="205" t="s">
        <v>72</v>
      </c>
      <c r="C64" s="205" t="s">
        <v>251</v>
      </c>
      <c r="D64" s="206">
        <v>4.0</v>
      </c>
      <c r="E64" s="207" t="s">
        <v>252</v>
      </c>
      <c r="F64" s="208" t="s">
        <v>253</v>
      </c>
      <c r="G64" s="208" t="s">
        <v>254</v>
      </c>
      <c r="H64" s="209" t="s">
        <v>18</v>
      </c>
      <c r="I64" s="210"/>
      <c r="J64" s="211"/>
      <c r="K64" s="212" t="s">
        <v>64</v>
      </c>
      <c r="L64" s="212" t="s">
        <v>255</v>
      </c>
      <c r="M64" s="65"/>
      <c r="N64" s="65"/>
      <c r="O64" s="65"/>
      <c r="P64" s="65"/>
      <c r="Q64" s="2"/>
      <c r="R64" s="65"/>
      <c r="S64" s="65"/>
      <c r="T64" s="65"/>
      <c r="U64" s="65"/>
      <c r="V64" s="65"/>
      <c r="W64" s="65"/>
      <c r="X64" s="65"/>
      <c r="Y64" s="65"/>
      <c r="Z64" s="1"/>
      <c r="AA64" s="1"/>
      <c r="AB64" s="1"/>
    </row>
    <row r="65">
      <c r="A65" s="65"/>
      <c r="B65" s="208" t="s">
        <v>3</v>
      </c>
      <c r="C65" s="205"/>
      <c r="D65" s="206"/>
      <c r="E65" s="207" t="s">
        <v>256</v>
      </c>
      <c r="F65" s="208" t="s">
        <v>257</v>
      </c>
      <c r="G65" s="208" t="s">
        <v>258</v>
      </c>
      <c r="H65" s="213" t="s">
        <v>18</v>
      </c>
      <c r="I65" s="210"/>
      <c r="J65" s="211"/>
      <c r="K65" s="212" t="s">
        <v>64</v>
      </c>
      <c r="L65" s="212" t="s">
        <v>255</v>
      </c>
      <c r="M65" s="65"/>
      <c r="N65" s="65"/>
      <c r="O65" s="65"/>
      <c r="P65" s="65"/>
      <c r="Q65" s="2"/>
      <c r="R65" s="65"/>
      <c r="S65" s="65"/>
      <c r="T65" s="65"/>
      <c r="U65" s="65"/>
      <c r="V65" s="65"/>
      <c r="W65" s="65"/>
      <c r="X65" s="65"/>
      <c r="Y65" s="65"/>
      <c r="Z65" s="1"/>
      <c r="AA65" s="1"/>
      <c r="AB65" s="1"/>
    </row>
    <row r="66">
      <c r="A66" s="65"/>
      <c r="B66" s="208" t="s">
        <v>72</v>
      </c>
      <c r="C66" s="214" t="s">
        <v>259</v>
      </c>
      <c r="D66" s="212">
        <v>5.0</v>
      </c>
      <c r="E66" s="212" t="s">
        <v>260</v>
      </c>
      <c r="F66" s="208" t="s">
        <v>261</v>
      </c>
      <c r="G66" s="214" t="s">
        <v>262</v>
      </c>
      <c r="H66" s="213" t="s">
        <v>18</v>
      </c>
      <c r="I66" s="210"/>
      <c r="J66" s="211"/>
      <c r="K66" s="212" t="s">
        <v>64</v>
      </c>
      <c r="L66" s="212" t="s">
        <v>255</v>
      </c>
      <c r="M66" s="65"/>
      <c r="N66" s="65"/>
      <c r="O66" s="65"/>
      <c r="P66" s="65"/>
      <c r="Q66" s="2"/>
      <c r="R66" s="65"/>
      <c r="S66" s="65"/>
      <c r="T66" s="65"/>
      <c r="U66" s="65"/>
      <c r="V66" s="65"/>
      <c r="W66" s="65"/>
      <c r="X66" s="65"/>
      <c r="Y66" s="65"/>
      <c r="Z66" s="1"/>
      <c r="AA66" s="1"/>
      <c r="AB66" s="1"/>
    </row>
    <row r="67">
      <c r="A67" s="65"/>
      <c r="B67" s="208" t="s">
        <v>3</v>
      </c>
      <c r="C67" s="214"/>
      <c r="D67" s="212"/>
      <c r="E67" s="212" t="s">
        <v>263</v>
      </c>
      <c r="F67" s="208" t="s">
        <v>257</v>
      </c>
      <c r="G67" s="208" t="s">
        <v>258</v>
      </c>
      <c r="H67" s="213" t="s">
        <v>18</v>
      </c>
      <c r="I67" s="210"/>
      <c r="J67" s="211"/>
      <c r="K67" s="212" t="s">
        <v>64</v>
      </c>
      <c r="L67" s="212" t="s">
        <v>255</v>
      </c>
      <c r="M67" s="65"/>
      <c r="N67" s="65"/>
      <c r="O67" s="65"/>
      <c r="P67" s="65"/>
      <c r="Q67" s="2"/>
      <c r="R67" s="65"/>
      <c r="S67" s="65"/>
      <c r="T67" s="65"/>
      <c r="U67" s="65"/>
      <c r="V67" s="65"/>
      <c r="W67" s="65"/>
      <c r="X67" s="65"/>
      <c r="Y67" s="65"/>
      <c r="Z67" s="1"/>
      <c r="AA67" s="1"/>
      <c r="AB67" s="1"/>
    </row>
    <row r="68">
      <c r="A68" s="65"/>
      <c r="B68" s="208" t="s">
        <v>72</v>
      </c>
      <c r="C68" s="214"/>
      <c r="D68" s="212"/>
      <c r="E68" s="212" t="s">
        <v>264</v>
      </c>
      <c r="F68" s="208" t="s">
        <v>265</v>
      </c>
      <c r="G68" s="214" t="s">
        <v>262</v>
      </c>
      <c r="H68" s="213" t="s">
        <v>18</v>
      </c>
      <c r="I68" s="210"/>
      <c r="J68" s="211"/>
      <c r="K68" s="212" t="s">
        <v>64</v>
      </c>
      <c r="L68" s="212" t="s">
        <v>255</v>
      </c>
      <c r="M68" s="65"/>
      <c r="N68" s="65"/>
      <c r="O68" s="65"/>
      <c r="P68" s="65"/>
      <c r="Q68" s="2"/>
      <c r="R68" s="65"/>
      <c r="S68" s="65"/>
      <c r="T68" s="65"/>
      <c r="U68" s="65"/>
      <c r="V68" s="65"/>
      <c r="W68" s="65"/>
      <c r="X68" s="65"/>
      <c r="Y68" s="65"/>
      <c r="Z68" s="1"/>
      <c r="AA68" s="1"/>
      <c r="AB68" s="1"/>
    </row>
    <row r="69">
      <c r="A69" s="65"/>
      <c r="B69" s="208" t="s">
        <v>3</v>
      </c>
      <c r="C69" s="214"/>
      <c r="D69" s="212"/>
      <c r="E69" s="212" t="s">
        <v>266</v>
      </c>
      <c r="F69" s="208" t="s">
        <v>257</v>
      </c>
      <c r="G69" s="208" t="s">
        <v>258</v>
      </c>
      <c r="H69" s="213" t="s">
        <v>18</v>
      </c>
      <c r="I69" s="210"/>
      <c r="J69" s="211"/>
      <c r="K69" s="212" t="s">
        <v>64</v>
      </c>
      <c r="L69" s="212" t="s">
        <v>255</v>
      </c>
      <c r="M69" s="65"/>
      <c r="N69" s="65"/>
      <c r="O69" s="65"/>
      <c r="P69" s="65"/>
      <c r="Q69" s="2"/>
      <c r="R69" s="65"/>
      <c r="S69" s="65"/>
      <c r="T69" s="65"/>
      <c r="U69" s="65"/>
      <c r="V69" s="65"/>
      <c r="W69" s="65"/>
      <c r="X69" s="65"/>
      <c r="Y69" s="65"/>
      <c r="Z69" s="1"/>
      <c r="AA69" s="1"/>
      <c r="AB69" s="1"/>
    </row>
    <row r="70">
      <c r="A70" s="65"/>
      <c r="B70" s="208" t="s">
        <v>72</v>
      </c>
      <c r="C70" s="214"/>
      <c r="D70" s="212"/>
      <c r="E70" s="212" t="s">
        <v>267</v>
      </c>
      <c r="F70" s="208" t="s">
        <v>268</v>
      </c>
      <c r="G70" s="214" t="s">
        <v>262</v>
      </c>
      <c r="H70" s="213" t="s">
        <v>80</v>
      </c>
      <c r="I70" s="210"/>
      <c r="J70" s="211"/>
      <c r="K70" s="212" t="s">
        <v>64</v>
      </c>
      <c r="L70" s="212" t="s">
        <v>255</v>
      </c>
      <c r="M70" s="65"/>
      <c r="N70" s="65"/>
      <c r="O70" s="65"/>
      <c r="P70" s="65"/>
      <c r="Q70" s="2"/>
      <c r="R70" s="65"/>
      <c r="S70" s="65"/>
      <c r="T70" s="65"/>
      <c r="U70" s="65"/>
      <c r="V70" s="65"/>
      <c r="W70" s="65"/>
      <c r="X70" s="65"/>
      <c r="Y70" s="65"/>
      <c r="Z70" s="1"/>
      <c r="AA70" s="1"/>
      <c r="AB70" s="1"/>
    </row>
    <row r="71">
      <c r="A71" s="65"/>
      <c r="B71" s="208" t="s">
        <v>3</v>
      </c>
      <c r="C71" s="214"/>
      <c r="D71" s="212"/>
      <c r="E71" s="212" t="s">
        <v>269</v>
      </c>
      <c r="F71" s="208" t="s">
        <v>257</v>
      </c>
      <c r="G71" s="208" t="s">
        <v>258</v>
      </c>
      <c r="H71" s="213" t="s">
        <v>80</v>
      </c>
      <c r="I71" s="210"/>
      <c r="J71" s="211"/>
      <c r="K71" s="212" t="s">
        <v>64</v>
      </c>
      <c r="L71" s="212" t="s">
        <v>255</v>
      </c>
      <c r="M71" s="65"/>
      <c r="N71" s="65"/>
      <c r="O71" s="65"/>
      <c r="P71" s="65"/>
      <c r="Q71" s="2"/>
      <c r="R71" s="65"/>
      <c r="S71" s="65"/>
      <c r="T71" s="65"/>
      <c r="U71" s="65"/>
      <c r="V71" s="65"/>
      <c r="W71" s="65"/>
      <c r="X71" s="65"/>
      <c r="Y71" s="65"/>
      <c r="Z71" s="1"/>
      <c r="AA71" s="1"/>
      <c r="AB71" s="1"/>
    </row>
    <row r="72">
      <c r="A72" s="65"/>
      <c r="B72" s="208" t="s">
        <v>72</v>
      </c>
      <c r="C72" s="214" t="s">
        <v>242</v>
      </c>
      <c r="D72" s="212">
        <v>6.0</v>
      </c>
      <c r="E72" s="212" t="s">
        <v>270</v>
      </c>
      <c r="F72" s="208" t="s">
        <v>271</v>
      </c>
      <c r="G72" s="214" t="s">
        <v>272</v>
      </c>
      <c r="H72" s="213" t="s">
        <v>18</v>
      </c>
      <c r="I72" s="210"/>
      <c r="J72" s="211"/>
      <c r="K72" s="212" t="s">
        <v>64</v>
      </c>
      <c r="L72" s="212" t="s">
        <v>255</v>
      </c>
      <c r="M72" s="65"/>
      <c r="N72" s="65"/>
      <c r="O72" s="65"/>
      <c r="P72" s="65"/>
      <c r="Q72" s="2"/>
      <c r="R72" s="65"/>
      <c r="S72" s="65"/>
      <c r="T72" s="65"/>
      <c r="U72" s="65"/>
      <c r="V72" s="65"/>
      <c r="W72" s="65"/>
      <c r="X72" s="65"/>
      <c r="Y72" s="65"/>
      <c r="Z72" s="1"/>
      <c r="AA72" s="1"/>
      <c r="AB72" s="1"/>
    </row>
    <row r="73">
      <c r="A73" s="65"/>
      <c r="B73" s="208" t="s">
        <v>3</v>
      </c>
      <c r="C73" s="214"/>
      <c r="D73" s="212"/>
      <c r="E73" s="212" t="s">
        <v>273</v>
      </c>
      <c r="F73" s="208" t="s">
        <v>257</v>
      </c>
      <c r="G73" s="208" t="s">
        <v>258</v>
      </c>
      <c r="H73" s="213" t="s">
        <v>18</v>
      </c>
      <c r="I73" s="210"/>
      <c r="J73" s="211"/>
      <c r="K73" s="212" t="s">
        <v>64</v>
      </c>
      <c r="L73" s="212" t="s">
        <v>255</v>
      </c>
      <c r="M73" s="65"/>
      <c r="N73" s="65"/>
      <c r="O73" s="65"/>
      <c r="P73" s="65"/>
      <c r="Q73" s="2"/>
      <c r="R73" s="65"/>
      <c r="S73" s="65"/>
      <c r="T73" s="65"/>
      <c r="U73" s="65"/>
      <c r="V73" s="65"/>
      <c r="W73" s="65"/>
      <c r="X73" s="65"/>
      <c r="Y73" s="65"/>
      <c r="Z73" s="1"/>
      <c r="AA73" s="1"/>
      <c r="AB73" s="1"/>
    </row>
    <row r="74">
      <c r="A74" s="65"/>
      <c r="B74" s="208" t="s">
        <v>72</v>
      </c>
      <c r="C74" s="214"/>
      <c r="D74" s="212"/>
      <c r="E74" s="212" t="s">
        <v>274</v>
      </c>
      <c r="F74" s="208" t="s">
        <v>275</v>
      </c>
      <c r="G74" s="214" t="s">
        <v>272</v>
      </c>
      <c r="H74" s="213" t="s">
        <v>18</v>
      </c>
      <c r="I74" s="210"/>
      <c r="J74" s="211"/>
      <c r="K74" s="212" t="s">
        <v>64</v>
      </c>
      <c r="L74" s="212" t="s">
        <v>255</v>
      </c>
      <c r="M74" s="65"/>
      <c r="N74" s="65"/>
      <c r="O74" s="65"/>
      <c r="P74" s="65"/>
      <c r="Q74" s="2"/>
      <c r="R74" s="65"/>
      <c r="S74" s="65"/>
      <c r="T74" s="65"/>
      <c r="U74" s="65"/>
      <c r="V74" s="65"/>
      <c r="W74" s="65"/>
      <c r="X74" s="65"/>
      <c r="Y74" s="65"/>
      <c r="Z74" s="1"/>
      <c r="AA74" s="1"/>
      <c r="AB74" s="1"/>
    </row>
    <row r="75">
      <c r="A75" s="65"/>
      <c r="B75" s="208" t="s">
        <v>3</v>
      </c>
      <c r="C75" s="214"/>
      <c r="D75" s="212"/>
      <c r="E75" s="212" t="s">
        <v>276</v>
      </c>
      <c r="F75" s="208" t="s">
        <v>257</v>
      </c>
      <c r="G75" s="208" t="s">
        <v>258</v>
      </c>
      <c r="H75" s="215" t="s">
        <v>114</v>
      </c>
      <c r="I75" s="210"/>
      <c r="J75" s="211"/>
      <c r="K75" s="212" t="s">
        <v>64</v>
      </c>
      <c r="L75" s="212" t="s">
        <v>255</v>
      </c>
      <c r="M75" s="65"/>
      <c r="N75" s="65"/>
      <c r="O75" s="65"/>
      <c r="P75" s="65"/>
      <c r="Q75" s="2"/>
      <c r="R75" s="65"/>
      <c r="S75" s="65"/>
      <c r="T75" s="65"/>
      <c r="U75" s="65"/>
      <c r="V75" s="65"/>
      <c r="W75" s="65"/>
      <c r="X75" s="65"/>
      <c r="Y75" s="65"/>
      <c r="Z75" s="1"/>
      <c r="AA75" s="1"/>
      <c r="AB75" s="1"/>
    </row>
    <row r="76">
      <c r="A76" s="65"/>
      <c r="B76" s="208" t="s">
        <v>72</v>
      </c>
      <c r="C76" s="214" t="s">
        <v>222</v>
      </c>
      <c r="D76" s="212">
        <v>7.0</v>
      </c>
      <c r="E76" s="212" t="s">
        <v>277</v>
      </c>
      <c r="F76" s="208" t="s">
        <v>278</v>
      </c>
      <c r="G76" s="214" t="s">
        <v>279</v>
      </c>
      <c r="H76" s="213" t="s">
        <v>80</v>
      </c>
      <c r="I76" s="210"/>
      <c r="J76" s="211"/>
      <c r="K76" s="212" t="s">
        <v>64</v>
      </c>
      <c r="L76" s="212" t="s">
        <v>255</v>
      </c>
      <c r="M76" s="65"/>
      <c r="N76" s="65"/>
      <c r="O76" s="65"/>
      <c r="P76" s="65"/>
      <c r="Q76" s="2"/>
      <c r="R76" s="65"/>
      <c r="S76" s="65"/>
      <c r="T76" s="65"/>
      <c r="U76" s="65"/>
      <c r="V76" s="65"/>
      <c r="W76" s="65"/>
      <c r="X76" s="65"/>
      <c r="Y76" s="65"/>
      <c r="Z76" s="1"/>
      <c r="AA76" s="1"/>
      <c r="AB76" s="1"/>
    </row>
    <row r="77">
      <c r="A77" s="65"/>
      <c r="B77" s="208" t="s">
        <v>3</v>
      </c>
      <c r="C77" s="214" t="s">
        <v>280</v>
      </c>
      <c r="D77" s="212">
        <v>8.0</v>
      </c>
      <c r="E77" s="212" t="s">
        <v>281</v>
      </c>
      <c r="F77" s="208" t="s">
        <v>282</v>
      </c>
      <c r="G77" s="214" t="s">
        <v>283</v>
      </c>
      <c r="H77" s="213" t="s">
        <v>80</v>
      </c>
      <c r="I77" s="210"/>
      <c r="J77" s="211"/>
      <c r="K77" s="212" t="s">
        <v>64</v>
      </c>
      <c r="L77" s="212" t="s">
        <v>255</v>
      </c>
      <c r="M77" s="65"/>
      <c r="N77" s="65"/>
      <c r="O77" s="65"/>
      <c r="P77" s="65"/>
      <c r="Q77" s="2"/>
      <c r="R77" s="65"/>
      <c r="S77" s="65"/>
      <c r="T77" s="65"/>
      <c r="U77" s="65"/>
      <c r="V77" s="65"/>
      <c r="W77" s="65"/>
      <c r="X77" s="65"/>
      <c r="Y77" s="65"/>
      <c r="Z77" s="1"/>
      <c r="AA77" s="1"/>
      <c r="AB77" s="1"/>
    </row>
    <row r="78">
      <c r="A78" s="65"/>
      <c r="B78" s="216" t="s">
        <v>3</v>
      </c>
      <c r="C78" s="217" t="s">
        <v>284</v>
      </c>
      <c r="D78" s="218">
        <v>9.0</v>
      </c>
      <c r="E78" s="218" t="s">
        <v>285</v>
      </c>
      <c r="F78" s="216" t="s">
        <v>286</v>
      </c>
      <c r="G78" s="217" t="s">
        <v>287</v>
      </c>
      <c r="H78" s="213" t="s">
        <v>80</v>
      </c>
      <c r="I78" s="210"/>
      <c r="J78" s="211"/>
      <c r="K78" s="212" t="s">
        <v>64</v>
      </c>
      <c r="L78" s="212" t="s">
        <v>255</v>
      </c>
      <c r="M78" s="65"/>
      <c r="N78" s="65"/>
      <c r="O78" s="65"/>
      <c r="P78" s="65"/>
      <c r="Q78" s="2"/>
      <c r="R78" s="65"/>
      <c r="S78" s="65"/>
      <c r="T78" s="65"/>
      <c r="U78" s="65"/>
      <c r="V78" s="65"/>
      <c r="W78" s="65"/>
      <c r="X78" s="65"/>
      <c r="Y78" s="65"/>
      <c r="Z78" s="1"/>
      <c r="AA78" s="1"/>
      <c r="AB78" s="1"/>
    </row>
    <row r="79">
      <c r="A79" s="65"/>
      <c r="B79" s="208" t="s">
        <v>3</v>
      </c>
      <c r="C79" s="214" t="s">
        <v>288</v>
      </c>
      <c r="D79" s="212">
        <v>10.0</v>
      </c>
      <c r="E79" s="212" t="s">
        <v>289</v>
      </c>
      <c r="F79" s="208" t="s">
        <v>290</v>
      </c>
      <c r="G79" s="219" t="s">
        <v>291</v>
      </c>
      <c r="H79" s="215" t="s">
        <v>114</v>
      </c>
      <c r="I79" s="210"/>
      <c r="J79" s="211"/>
      <c r="K79" s="212" t="s">
        <v>64</v>
      </c>
      <c r="L79" s="212" t="s">
        <v>255</v>
      </c>
      <c r="M79" s="65"/>
      <c r="N79" s="65"/>
      <c r="O79" s="65"/>
      <c r="P79" s="65"/>
      <c r="Q79" s="2"/>
      <c r="R79" s="65"/>
      <c r="S79" s="65"/>
      <c r="T79" s="65"/>
      <c r="U79" s="65"/>
      <c r="V79" s="65"/>
      <c r="W79" s="65"/>
      <c r="X79" s="65"/>
      <c r="Y79" s="65"/>
      <c r="Z79" s="1"/>
      <c r="AA79" s="1"/>
      <c r="AB79" s="1"/>
    </row>
    <row r="80" ht="32.25" customHeight="1">
      <c r="A80" s="65"/>
      <c r="B80" s="220"/>
      <c r="C80" s="221"/>
      <c r="D80" s="222"/>
      <c r="E80" s="142"/>
      <c r="F80" s="223"/>
      <c r="G80" s="220"/>
      <c r="H80" s="147"/>
      <c r="I80" s="224"/>
      <c r="J80" s="225"/>
      <c r="K80" s="147"/>
      <c r="L80" s="147"/>
      <c r="M80" s="65"/>
      <c r="N80" s="65"/>
      <c r="O80" s="65"/>
      <c r="P80" s="65"/>
      <c r="Q80" s="2"/>
      <c r="R80" s="65"/>
      <c r="S80" s="65"/>
      <c r="T80" s="65"/>
      <c r="U80" s="65"/>
      <c r="V80" s="65"/>
      <c r="W80" s="65"/>
      <c r="X80" s="65"/>
      <c r="Y80" s="65"/>
      <c r="Z80" s="1"/>
      <c r="AA80" s="1"/>
      <c r="AB80" s="1"/>
    </row>
    <row r="81" ht="15.75" customHeight="1">
      <c r="A81" s="1"/>
      <c r="B81" s="226"/>
      <c r="C81" s="143"/>
      <c r="D81" s="143"/>
      <c r="E81" s="227"/>
      <c r="F81" s="228"/>
      <c r="G81" s="100"/>
      <c r="H81" s="229"/>
      <c r="I81" s="10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0" customHeight="1">
      <c r="A82" s="1"/>
      <c r="B82" s="230" t="s">
        <v>292</v>
      </c>
      <c r="C82" s="143"/>
      <c r="D82" s="143"/>
      <c r="E82" s="227"/>
      <c r="F82" s="228"/>
      <c r="G82" s="100"/>
      <c r="H82" s="229"/>
      <c r="I82" s="10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0" customHeight="1">
      <c r="A83" s="1"/>
      <c r="B83" s="231" t="s">
        <v>293</v>
      </c>
      <c r="C83" s="143"/>
      <c r="D83" s="143"/>
      <c r="E83" s="227"/>
      <c r="F83" s="228"/>
      <c r="G83" s="100"/>
      <c r="H83" s="229"/>
      <c r="I83" s="10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0" customHeight="1">
      <c r="A84" s="1"/>
      <c r="B84" s="231" t="s">
        <v>294</v>
      </c>
      <c r="C84" s="143"/>
      <c r="D84" s="143"/>
      <c r="E84" s="227"/>
      <c r="F84" s="228"/>
      <c r="G84" s="100"/>
      <c r="H84" s="229"/>
      <c r="I84" s="10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0" customHeight="1">
      <c r="A85" s="1"/>
      <c r="B85" s="231" t="s">
        <v>295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0" customHeight="1">
      <c r="A86" s="1"/>
      <c r="B86" s="231" t="s">
        <v>296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0" customHeight="1">
      <c r="A87" s="1"/>
      <c r="B87" s="231" t="s">
        <v>297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0" customHeight="1">
      <c r="A88" s="1"/>
      <c r="B88" s="231" t="s">
        <v>298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24">
    <mergeCell ref="J6:J7"/>
    <mergeCell ref="K6:K7"/>
    <mergeCell ref="J14:J15"/>
    <mergeCell ref="K14:K15"/>
    <mergeCell ref="L14:L15"/>
    <mergeCell ref="B2:J4"/>
    <mergeCell ref="E6:E7"/>
    <mergeCell ref="F6:F7"/>
    <mergeCell ref="G6:G7"/>
    <mergeCell ref="H6:H7"/>
    <mergeCell ref="I6:I7"/>
    <mergeCell ref="B10:J12"/>
    <mergeCell ref="B16:B17"/>
    <mergeCell ref="C16:C17"/>
    <mergeCell ref="G16:G17"/>
    <mergeCell ref="H16:H17"/>
    <mergeCell ref="I16:I17"/>
    <mergeCell ref="D6:D7"/>
    <mergeCell ref="D14:D15"/>
    <mergeCell ref="E14:E15"/>
    <mergeCell ref="F14:F15"/>
    <mergeCell ref="G14:G15"/>
    <mergeCell ref="H14:H15"/>
    <mergeCell ref="I14:I15"/>
  </mergeCells>
  <dataValidations>
    <dataValidation type="list" allowBlank="1" showErrorMessage="1" sqref="C8 C16">
      <formula1>"Development,UAT"</formula1>
    </dataValidation>
    <dataValidation type="list" allowBlank="1" showErrorMessage="1" sqref="B21:B22 B24:B26 B28:B31 B33:B40 B42:B49">
      <formula1>"Input Data,Cek Data,Cek Laporan,Cek Jurnal,COB,Reverse Data,Otorisasi Data"</formula1>
    </dataValidation>
    <dataValidation type="list" allowBlank="1" showErrorMessage="1" sqref="H21:H31 H33:H40 H42:H62 H64:H80 G81:G84">
      <formula1>"Berhasil,Gagal,Siap dites,Tidak dites,Belum dites,Butuh konfirmasi"</formula1>
    </dataValidation>
    <dataValidation type="list" allowBlank="1" showErrorMessage="1" sqref="C7 C15">
      <formula1>"New Project,Enhancement,Bug Fixing"</formula1>
    </dataValidation>
    <dataValidation type="list" allowBlank="1" showErrorMessage="1" sqref="K21:K31 K33:K40 K42:K62 K64:K80 I81:I84">
      <formula1>"Script Plan,Script Tambahan"</formula1>
    </dataValidation>
  </dataValidations>
  <printOptions/>
  <pageMargins bottom="0.2362204724409449" footer="0.0" header="0.0" left="0.1968503937007874" right="0.1968503937007874" top="0.1968503937007874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3" width="16.57"/>
    <col customWidth="1" min="4" max="4" width="16.43"/>
    <col customWidth="1" min="5" max="5" width="12.14"/>
    <col customWidth="1" min="6" max="6" width="16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22" t="s">
        <v>2</v>
      </c>
      <c r="C5" s="5"/>
      <c r="D5" s="2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6"/>
      <c r="C6" s="18"/>
      <c r="D6" s="3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9" t="s">
        <v>7</v>
      </c>
      <c r="C7" s="39" t="s">
        <v>9</v>
      </c>
      <c r="D7" s="39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9"/>
      <c r="C8" s="49"/>
      <c r="D8" s="4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8" t="s">
        <v>18</v>
      </c>
      <c r="C9" s="71">
        <f>COUNTIF('UAT Script'!H20:H79,"Berhasil")</f>
        <v>20</v>
      </c>
      <c r="D9" s="74">
        <f>C9/C15</f>
        <v>0.3571428571</v>
      </c>
      <c r="E9" s="1"/>
      <c r="F9" s="7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6" t="s">
        <v>46</v>
      </c>
      <c r="C10" s="94">
        <f>COUNTIF('UAT Script'!H20:H79,"Gagal")</f>
        <v>0</v>
      </c>
      <c r="D10" s="102">
        <f>C10/C15</f>
        <v>0</v>
      </c>
      <c r="E10" s="1"/>
      <c r="F10" s="7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3" t="s">
        <v>69</v>
      </c>
      <c r="C11" s="122">
        <f>COUNTIF('UAT Script'!H20:H79,"Siap dites")</f>
        <v>2</v>
      </c>
      <c r="D11" s="126">
        <f>C11/C15</f>
        <v>0.03571428571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9" t="s">
        <v>80</v>
      </c>
      <c r="C12" s="132">
        <f>COUNTIF('UAT Script'!H20:H79,"Tidak dites")</f>
        <v>32</v>
      </c>
      <c r="D12" s="136">
        <f>C12/C15</f>
        <v>0.5714285714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9" t="s">
        <v>114</v>
      </c>
      <c r="C13" s="146">
        <f>COUNTIF('UAT Script'!H20:H79,"Belum dites")</f>
        <v>2</v>
      </c>
      <c r="D13" s="150">
        <f>C13/C15</f>
        <v>0.03571428571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1" t="s">
        <v>62</v>
      </c>
      <c r="C14" s="155">
        <f>COUNTIF('UAT Script'!H20:H79,"Butuh Konfirmasi")</f>
        <v>0</v>
      </c>
      <c r="D14" s="157">
        <f>C14/C15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8" t="s">
        <v>170</v>
      </c>
      <c r="C15" s="160">
        <f t="shared" ref="C15:D15" si="1">SUM(C9:C14)</f>
        <v>56</v>
      </c>
      <c r="D15" s="161">
        <f t="shared" si="1"/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2" t="s">
        <v>182</v>
      </c>
      <c r="C16" s="164">
        <f>SUM(D9,D12)</f>
        <v>0.9285714286</v>
      </c>
      <c r="D16" s="5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5"/>
      <c r="C17" s="166"/>
      <c r="D17" s="16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5:D6"/>
    <mergeCell ref="B7:B8"/>
    <mergeCell ref="C7:C8"/>
    <mergeCell ref="D7:D8"/>
    <mergeCell ref="C16:D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0.43"/>
    <col customWidth="1" min="3" max="3" width="21.86"/>
    <col customWidth="1" min="4" max="4" width="60.43"/>
    <col customWidth="1" min="5" max="5" width="57.0"/>
    <col customWidth="1" min="6" max="6" width="21.43"/>
    <col customWidth="1" min="7" max="7" width="17.43"/>
    <col customWidth="1" min="8" max="8" width="19.29"/>
    <col customWidth="1" min="9" max="9" width="16.43"/>
    <col customWidth="1" min="10" max="10" width="25.86"/>
    <col customWidth="1" min="11" max="11" width="23.71"/>
    <col customWidth="1" min="12" max="12" width="27.14"/>
    <col customWidth="1" min="13" max="13" width="20.29"/>
    <col customWidth="1" min="14" max="14" width="25.14"/>
    <col customWidth="1" min="15" max="15" width="4.14"/>
    <col customWidth="1" hidden="1" min="16" max="16" width="9.71"/>
    <col customWidth="1" hidden="1" min="17" max="17" width="14.86"/>
    <col customWidth="1" hidden="1" min="18" max="18" width="7.57"/>
    <col customWidth="1" min="19" max="26" width="9.14"/>
  </cols>
  <sheetData>
    <row r="1" ht="15.75" customHeight="1">
      <c r="A1" s="7"/>
      <c r="B1" s="7"/>
      <c r="C1" s="7"/>
      <c r="D1" s="7"/>
      <c r="E1" s="7"/>
      <c r="F1" s="7"/>
      <c r="G1" s="7"/>
      <c r="H1" s="13"/>
      <c r="I1" s="15"/>
      <c r="J1" s="7"/>
      <c r="K1" s="19"/>
      <c r="L1" s="19"/>
      <c r="M1" s="24"/>
      <c r="N1" s="24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7"/>
      <c r="B2" s="34" t="s">
        <v>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40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7"/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6"/>
      <c r="O3" s="7"/>
      <c r="P3" s="7" t="s">
        <v>12</v>
      </c>
      <c r="Q3" s="7" t="s">
        <v>13</v>
      </c>
      <c r="R3" s="7" t="s">
        <v>14</v>
      </c>
      <c r="S3" s="7"/>
      <c r="T3" s="7"/>
      <c r="U3" s="7"/>
      <c r="V3" s="7"/>
      <c r="W3" s="7"/>
      <c r="X3" s="7"/>
      <c r="Y3" s="7"/>
      <c r="Z3" s="7"/>
    </row>
    <row r="4" ht="29.25" customHeight="1">
      <c r="A4" s="7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4.25" customHeight="1">
      <c r="A5" s="53"/>
      <c r="B5" s="56" t="s">
        <v>17</v>
      </c>
      <c r="C5" s="57"/>
      <c r="D5" s="59"/>
      <c r="E5" s="61"/>
      <c r="F5" s="59"/>
      <c r="G5" s="63"/>
      <c r="H5" s="63"/>
      <c r="I5" s="56" t="s">
        <v>21</v>
      </c>
      <c r="J5" s="59"/>
      <c r="K5" s="67"/>
      <c r="L5" s="57"/>
      <c r="M5" s="57"/>
      <c r="N5" s="59"/>
      <c r="O5" s="53"/>
      <c r="P5" s="7" t="s">
        <v>30</v>
      </c>
      <c r="Q5" s="7" t="s">
        <v>31</v>
      </c>
      <c r="R5" s="7" t="s">
        <v>33</v>
      </c>
      <c r="S5" s="53"/>
      <c r="T5" s="53"/>
      <c r="U5" s="53"/>
      <c r="V5" s="53"/>
      <c r="W5" s="53"/>
      <c r="X5" s="53"/>
      <c r="Y5" s="53"/>
      <c r="Z5" s="53"/>
    </row>
    <row r="6" ht="44.25" customHeight="1">
      <c r="A6" s="53"/>
      <c r="B6" s="56" t="s">
        <v>39</v>
      </c>
      <c r="C6" s="57"/>
      <c r="D6" s="59"/>
      <c r="E6" s="70"/>
      <c r="F6" s="59"/>
      <c r="G6" s="63"/>
      <c r="H6" s="63"/>
      <c r="I6" s="56" t="s">
        <v>40</v>
      </c>
      <c r="J6" s="59"/>
      <c r="K6" s="72"/>
      <c r="L6" s="57"/>
      <c r="M6" s="57"/>
      <c r="N6" s="59"/>
      <c r="O6" s="53"/>
      <c r="P6" s="7" t="s">
        <v>41</v>
      </c>
      <c r="Q6" s="7" t="s">
        <v>42</v>
      </c>
      <c r="R6" s="7"/>
      <c r="S6" s="53"/>
      <c r="T6" s="53"/>
      <c r="U6" s="53"/>
      <c r="V6" s="53"/>
      <c r="W6" s="53"/>
      <c r="X6" s="53"/>
      <c r="Y6" s="53"/>
      <c r="Z6" s="53"/>
    </row>
    <row r="7" ht="15.75" customHeight="1">
      <c r="A7" s="53"/>
      <c r="B7" s="53"/>
      <c r="C7" s="75"/>
      <c r="D7" s="53"/>
      <c r="E7" s="53"/>
      <c r="F7" s="53"/>
      <c r="G7" s="53"/>
      <c r="H7" s="78"/>
      <c r="I7" s="80"/>
      <c r="J7" s="53"/>
      <c r="K7" s="81"/>
      <c r="L7" s="81"/>
      <c r="M7" s="75"/>
      <c r="N7" s="75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34.5" customHeight="1">
      <c r="A8" s="84"/>
      <c r="B8" s="87" t="s">
        <v>47</v>
      </c>
      <c r="C8" s="90" t="s">
        <v>25</v>
      </c>
      <c r="D8" s="87" t="s">
        <v>23</v>
      </c>
      <c r="E8" s="87" t="s">
        <v>48</v>
      </c>
      <c r="F8" s="87" t="s">
        <v>49</v>
      </c>
      <c r="G8" s="93" t="s">
        <v>50</v>
      </c>
      <c r="H8" s="95" t="s">
        <v>52</v>
      </c>
      <c r="I8" s="101" t="s">
        <v>55</v>
      </c>
      <c r="J8" s="87" t="s">
        <v>56</v>
      </c>
      <c r="K8" s="87" t="s">
        <v>59</v>
      </c>
      <c r="L8" s="95" t="s">
        <v>60</v>
      </c>
      <c r="M8" s="87" t="s">
        <v>32</v>
      </c>
      <c r="N8" s="87" t="s">
        <v>61</v>
      </c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32.25" customHeight="1">
      <c r="A9" s="7"/>
      <c r="B9" s="106"/>
      <c r="C9" s="103"/>
      <c r="D9" s="108"/>
      <c r="E9" s="108"/>
      <c r="F9" s="106"/>
      <c r="G9" s="103"/>
      <c r="H9" s="107"/>
      <c r="I9" s="114"/>
      <c r="J9" s="116"/>
      <c r="K9" s="118"/>
      <c r="L9" s="107"/>
      <c r="M9" s="103"/>
      <c r="N9" s="10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7"/>
      <c r="B10" s="106"/>
      <c r="C10" s="103"/>
      <c r="D10" s="108"/>
      <c r="E10" s="108"/>
      <c r="F10" s="106"/>
      <c r="G10" s="103"/>
      <c r="H10" s="107"/>
      <c r="I10" s="114" t="str">
        <f t="shared" ref="I10:I14" si="1">IF(H10&lt;&gt;"",IF(N10&lt;&gt;"",N10-H10,TODAY()-H10),"")</f>
        <v/>
      </c>
      <c r="J10" s="116"/>
      <c r="K10" s="118"/>
      <c r="L10" s="107"/>
      <c r="M10" s="103"/>
      <c r="N10" s="10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7"/>
      <c r="B11" s="106"/>
      <c r="C11" s="103"/>
      <c r="D11" s="108"/>
      <c r="E11" s="108"/>
      <c r="F11" s="106"/>
      <c r="G11" s="103"/>
      <c r="H11" s="107"/>
      <c r="I11" s="114" t="str">
        <f t="shared" si="1"/>
        <v/>
      </c>
      <c r="J11" s="116"/>
      <c r="K11" s="118"/>
      <c r="L11" s="107"/>
      <c r="M11" s="103"/>
      <c r="N11" s="10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7"/>
      <c r="B12" s="106"/>
      <c r="C12" s="103"/>
      <c r="D12" s="108"/>
      <c r="E12" s="108"/>
      <c r="F12" s="106"/>
      <c r="G12" s="103"/>
      <c r="H12" s="107"/>
      <c r="I12" s="114" t="str">
        <f t="shared" si="1"/>
        <v/>
      </c>
      <c r="J12" s="116"/>
      <c r="K12" s="118"/>
      <c r="L12" s="107"/>
      <c r="M12" s="103"/>
      <c r="N12" s="10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7"/>
      <c r="B13" s="106"/>
      <c r="C13" s="103"/>
      <c r="D13" s="108"/>
      <c r="E13" s="108"/>
      <c r="F13" s="106"/>
      <c r="G13" s="103"/>
      <c r="H13" s="107"/>
      <c r="I13" s="114" t="str">
        <f t="shared" si="1"/>
        <v/>
      </c>
      <c r="J13" s="116"/>
      <c r="K13" s="118"/>
      <c r="L13" s="107"/>
      <c r="M13" s="103"/>
      <c r="N13" s="10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7"/>
      <c r="B14" s="106"/>
      <c r="C14" s="103"/>
      <c r="D14" s="108"/>
      <c r="E14" s="108"/>
      <c r="F14" s="106"/>
      <c r="G14" s="103"/>
      <c r="H14" s="107"/>
      <c r="I14" s="114" t="str">
        <f t="shared" si="1"/>
        <v/>
      </c>
      <c r="J14" s="116"/>
      <c r="K14" s="118"/>
      <c r="L14" s="107"/>
      <c r="M14" s="103"/>
      <c r="N14" s="10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140"/>
      <c r="C15" s="142"/>
      <c r="D15" s="143"/>
      <c r="E15" s="143"/>
      <c r="F15" s="24"/>
      <c r="G15" s="100"/>
      <c r="H15" s="144"/>
      <c r="I15" s="145"/>
      <c r="J15" s="147"/>
      <c r="K15" s="148"/>
      <c r="L15" s="144"/>
      <c r="M15" s="100"/>
      <c r="N15" s="14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140"/>
      <c r="C16" s="142"/>
      <c r="D16" s="143"/>
      <c r="E16" s="143"/>
      <c r="F16" s="24"/>
      <c r="G16" s="100"/>
      <c r="H16" s="144"/>
      <c r="I16" s="145"/>
      <c r="J16" s="147"/>
      <c r="K16" s="148"/>
      <c r="L16" s="144"/>
      <c r="M16" s="100"/>
      <c r="N16" s="14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19" t="s">
        <v>142</v>
      </c>
      <c r="F17" s="7"/>
      <c r="G17" s="7"/>
      <c r="H17" s="13"/>
      <c r="I17" s="15"/>
      <c r="J17" s="7"/>
      <c r="K17" s="19"/>
      <c r="L17" s="19"/>
      <c r="M17" s="24"/>
      <c r="N17" s="24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13"/>
      <c r="I18" s="15"/>
      <c r="J18" s="7"/>
      <c r="K18" s="19"/>
      <c r="L18" s="19"/>
      <c r="M18" s="24"/>
      <c r="N18" s="24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13"/>
      <c r="I19" s="15"/>
      <c r="J19" s="7"/>
      <c r="K19" s="19"/>
      <c r="L19" s="19"/>
      <c r="M19" s="24"/>
      <c r="N19" s="2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13"/>
      <c r="I20" s="15"/>
      <c r="J20" s="7"/>
      <c r="K20" s="19"/>
      <c r="L20" s="19"/>
      <c r="M20" s="24"/>
      <c r="N20" s="24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13"/>
      <c r="I21" s="15"/>
      <c r="J21" s="7"/>
      <c r="K21" s="19"/>
      <c r="L21" s="19"/>
      <c r="M21" s="24"/>
      <c r="N21" s="2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13"/>
      <c r="I22" s="15"/>
      <c r="J22" s="7"/>
      <c r="K22" s="19"/>
      <c r="L22" s="19"/>
      <c r="M22" s="24"/>
      <c r="N22" s="2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13"/>
      <c r="I23" s="15"/>
      <c r="J23" s="7"/>
      <c r="K23" s="19"/>
      <c r="L23" s="19"/>
      <c r="M23" s="24"/>
      <c r="N23" s="2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13"/>
      <c r="I24" s="15"/>
      <c r="J24" s="7"/>
      <c r="K24" s="19"/>
      <c r="L24" s="19"/>
      <c r="M24" s="24"/>
      <c r="N24" s="2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13"/>
      <c r="I25" s="15"/>
      <c r="J25" s="7"/>
      <c r="K25" s="19"/>
      <c r="L25" s="19"/>
      <c r="M25" s="24"/>
      <c r="N25" s="2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13"/>
      <c r="I26" s="15"/>
      <c r="J26" s="7"/>
      <c r="K26" s="19"/>
      <c r="L26" s="19"/>
      <c r="M26" s="24"/>
      <c r="N26" s="2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13"/>
      <c r="I27" s="15"/>
      <c r="J27" s="7"/>
      <c r="K27" s="19"/>
      <c r="L27" s="19"/>
      <c r="M27" s="24"/>
      <c r="N27" s="2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13"/>
      <c r="I28" s="15"/>
      <c r="J28" s="7"/>
      <c r="K28" s="19"/>
      <c r="L28" s="19"/>
      <c r="M28" s="24"/>
      <c r="N28" s="2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13"/>
      <c r="I29" s="15"/>
      <c r="J29" s="7"/>
      <c r="K29" s="19"/>
      <c r="L29" s="19"/>
      <c r="M29" s="24"/>
      <c r="N29" s="2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13"/>
      <c r="I30" s="15"/>
      <c r="J30" s="7"/>
      <c r="K30" s="19"/>
      <c r="L30" s="19"/>
      <c r="M30" s="24"/>
      <c r="N30" s="24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13"/>
      <c r="I31" s="15"/>
      <c r="J31" s="7"/>
      <c r="K31" s="19"/>
      <c r="L31" s="19"/>
      <c r="M31" s="24"/>
      <c r="N31" s="2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13"/>
      <c r="I32" s="15"/>
      <c r="J32" s="7"/>
      <c r="K32" s="19"/>
      <c r="L32" s="19"/>
      <c r="M32" s="24"/>
      <c r="N32" s="24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13"/>
      <c r="I33" s="15"/>
      <c r="J33" s="7"/>
      <c r="K33" s="19"/>
      <c r="L33" s="19"/>
      <c r="M33" s="24"/>
      <c r="N33" s="2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13"/>
      <c r="I34" s="15"/>
      <c r="J34" s="7"/>
      <c r="K34" s="19"/>
      <c r="L34" s="19"/>
      <c r="M34" s="24"/>
      <c r="N34" s="2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13"/>
      <c r="I35" s="15"/>
      <c r="J35" s="7"/>
      <c r="K35" s="19"/>
      <c r="L35" s="19"/>
      <c r="M35" s="24"/>
      <c r="N35" s="2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13"/>
      <c r="I36" s="15"/>
      <c r="J36" s="7"/>
      <c r="K36" s="19"/>
      <c r="L36" s="19"/>
      <c r="M36" s="24"/>
      <c r="N36" s="2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13"/>
      <c r="I37" s="15"/>
      <c r="J37" s="7"/>
      <c r="K37" s="19"/>
      <c r="L37" s="19"/>
      <c r="M37" s="24"/>
      <c r="N37" s="2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13"/>
      <c r="I38" s="15"/>
      <c r="J38" s="7"/>
      <c r="K38" s="19"/>
      <c r="L38" s="19"/>
      <c r="M38" s="24"/>
      <c r="N38" s="2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13"/>
      <c r="I39" s="15"/>
      <c r="J39" s="7"/>
      <c r="K39" s="19"/>
      <c r="L39" s="19"/>
      <c r="M39" s="24"/>
      <c r="N39" s="2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13"/>
      <c r="I40" s="15"/>
      <c r="J40" s="7"/>
      <c r="K40" s="19"/>
      <c r="L40" s="19"/>
      <c r="M40" s="24"/>
      <c r="N40" s="2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13"/>
      <c r="I41" s="15"/>
      <c r="J41" s="7"/>
      <c r="K41" s="19"/>
      <c r="L41" s="19"/>
      <c r="M41" s="24"/>
      <c r="N41" s="2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13"/>
      <c r="I42" s="15"/>
      <c r="J42" s="7"/>
      <c r="K42" s="19"/>
      <c r="L42" s="19"/>
      <c r="M42" s="24"/>
      <c r="N42" s="2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13"/>
      <c r="I43" s="15"/>
      <c r="J43" s="7"/>
      <c r="K43" s="19"/>
      <c r="L43" s="19"/>
      <c r="M43" s="24"/>
      <c r="N43" s="24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13"/>
      <c r="I44" s="15"/>
      <c r="J44" s="7"/>
      <c r="K44" s="19"/>
      <c r="L44" s="19"/>
      <c r="M44" s="24"/>
      <c r="N44" s="24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13"/>
      <c r="I45" s="15"/>
      <c r="J45" s="7"/>
      <c r="K45" s="19"/>
      <c r="L45" s="19"/>
      <c r="M45" s="24"/>
      <c r="N45" s="24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13"/>
      <c r="I46" s="15"/>
      <c r="J46" s="7"/>
      <c r="K46" s="19"/>
      <c r="L46" s="19"/>
      <c r="M46" s="24"/>
      <c r="N46" s="24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13"/>
      <c r="I47" s="15"/>
      <c r="J47" s="7"/>
      <c r="K47" s="19"/>
      <c r="L47" s="19"/>
      <c r="M47" s="24"/>
      <c r="N47" s="2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13"/>
      <c r="I48" s="15"/>
      <c r="J48" s="7"/>
      <c r="K48" s="19"/>
      <c r="L48" s="19"/>
      <c r="M48" s="24"/>
      <c r="N48" s="2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13"/>
      <c r="I49" s="15"/>
      <c r="J49" s="7"/>
      <c r="K49" s="19"/>
      <c r="L49" s="19"/>
      <c r="M49" s="24"/>
      <c r="N49" s="2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13"/>
      <c r="I50" s="15"/>
      <c r="J50" s="7"/>
      <c r="K50" s="19"/>
      <c r="L50" s="19"/>
      <c r="M50" s="24"/>
      <c r="N50" s="2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13"/>
      <c r="I51" s="15"/>
      <c r="J51" s="7"/>
      <c r="K51" s="19"/>
      <c r="L51" s="19"/>
      <c r="M51" s="24"/>
      <c r="N51" s="2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13"/>
      <c r="I52" s="15"/>
      <c r="J52" s="7"/>
      <c r="K52" s="19"/>
      <c r="L52" s="19"/>
      <c r="M52" s="24"/>
      <c r="N52" s="2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13"/>
      <c r="I53" s="15"/>
      <c r="J53" s="7"/>
      <c r="K53" s="19"/>
      <c r="L53" s="19"/>
      <c r="M53" s="24"/>
      <c r="N53" s="2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13"/>
      <c r="I54" s="15"/>
      <c r="J54" s="7"/>
      <c r="K54" s="19"/>
      <c r="L54" s="19"/>
      <c r="M54" s="24"/>
      <c r="N54" s="2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13"/>
      <c r="I55" s="15"/>
      <c r="J55" s="7"/>
      <c r="K55" s="19"/>
      <c r="L55" s="19"/>
      <c r="M55" s="24"/>
      <c r="N55" s="24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13"/>
      <c r="I56" s="15"/>
      <c r="J56" s="7"/>
      <c r="K56" s="19"/>
      <c r="L56" s="19"/>
      <c r="M56" s="24"/>
      <c r="N56" s="2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13"/>
      <c r="I57" s="15"/>
      <c r="J57" s="7"/>
      <c r="K57" s="19"/>
      <c r="L57" s="19"/>
      <c r="M57" s="24"/>
      <c r="N57" s="2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13"/>
      <c r="I58" s="15"/>
      <c r="J58" s="7"/>
      <c r="K58" s="19"/>
      <c r="L58" s="19"/>
      <c r="M58" s="24"/>
      <c r="N58" s="24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13"/>
      <c r="I59" s="15"/>
      <c r="J59" s="7"/>
      <c r="K59" s="19"/>
      <c r="L59" s="19"/>
      <c r="M59" s="24"/>
      <c r="N59" s="24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13"/>
      <c r="I60" s="15"/>
      <c r="J60" s="7"/>
      <c r="K60" s="19"/>
      <c r="L60" s="19"/>
      <c r="M60" s="24"/>
      <c r="N60" s="24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13"/>
      <c r="I61" s="15"/>
      <c r="J61" s="7"/>
      <c r="K61" s="19"/>
      <c r="L61" s="19"/>
      <c r="M61" s="24"/>
      <c r="N61" s="24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13"/>
      <c r="I62" s="15"/>
      <c r="J62" s="7"/>
      <c r="K62" s="19"/>
      <c r="L62" s="19"/>
      <c r="M62" s="24"/>
      <c r="N62" s="24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13"/>
      <c r="I63" s="15"/>
      <c r="J63" s="7"/>
      <c r="K63" s="19"/>
      <c r="L63" s="19"/>
      <c r="M63" s="24"/>
      <c r="N63" s="24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13"/>
      <c r="I64" s="15"/>
      <c r="J64" s="7"/>
      <c r="K64" s="19"/>
      <c r="L64" s="19"/>
      <c r="M64" s="24"/>
      <c r="N64" s="24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13"/>
      <c r="I65" s="15"/>
      <c r="J65" s="7"/>
      <c r="K65" s="19"/>
      <c r="L65" s="19"/>
      <c r="M65" s="24"/>
      <c r="N65" s="24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13"/>
      <c r="I66" s="15"/>
      <c r="J66" s="7"/>
      <c r="K66" s="19"/>
      <c r="L66" s="19"/>
      <c r="M66" s="24"/>
      <c r="N66" s="24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13"/>
      <c r="I67" s="15"/>
      <c r="J67" s="7"/>
      <c r="K67" s="19"/>
      <c r="L67" s="19"/>
      <c r="M67" s="24"/>
      <c r="N67" s="2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13"/>
      <c r="I68" s="15"/>
      <c r="J68" s="7"/>
      <c r="K68" s="19"/>
      <c r="L68" s="19"/>
      <c r="M68" s="24"/>
      <c r="N68" s="2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13"/>
      <c r="I69" s="15"/>
      <c r="J69" s="7"/>
      <c r="K69" s="19"/>
      <c r="L69" s="19"/>
      <c r="M69" s="24"/>
      <c r="N69" s="24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13"/>
      <c r="I70" s="15"/>
      <c r="J70" s="7"/>
      <c r="K70" s="19"/>
      <c r="L70" s="19"/>
      <c r="M70" s="24"/>
      <c r="N70" s="2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13"/>
      <c r="I71" s="15"/>
      <c r="J71" s="7"/>
      <c r="K71" s="19"/>
      <c r="L71" s="19"/>
      <c r="M71" s="24"/>
      <c r="N71" s="2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13"/>
      <c r="I72" s="15"/>
      <c r="J72" s="7"/>
      <c r="K72" s="19"/>
      <c r="L72" s="19"/>
      <c r="M72" s="24"/>
      <c r="N72" s="2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13"/>
      <c r="I73" s="15"/>
      <c r="J73" s="7"/>
      <c r="K73" s="19"/>
      <c r="L73" s="19"/>
      <c r="M73" s="24"/>
      <c r="N73" s="2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13"/>
      <c r="I74" s="15"/>
      <c r="J74" s="7"/>
      <c r="K74" s="19"/>
      <c r="L74" s="19"/>
      <c r="M74" s="24"/>
      <c r="N74" s="2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13"/>
      <c r="I75" s="15"/>
      <c r="J75" s="7"/>
      <c r="K75" s="19"/>
      <c r="L75" s="19"/>
      <c r="M75" s="24"/>
      <c r="N75" s="2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13"/>
      <c r="I76" s="15"/>
      <c r="J76" s="7"/>
      <c r="K76" s="19"/>
      <c r="L76" s="19"/>
      <c r="M76" s="24"/>
      <c r="N76" s="2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13"/>
      <c r="I77" s="15"/>
      <c r="J77" s="7"/>
      <c r="K77" s="19"/>
      <c r="L77" s="19"/>
      <c r="M77" s="24"/>
      <c r="N77" s="24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13"/>
      <c r="I78" s="15"/>
      <c r="J78" s="7"/>
      <c r="K78" s="19"/>
      <c r="L78" s="19"/>
      <c r="M78" s="24"/>
      <c r="N78" s="24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13"/>
      <c r="I79" s="15"/>
      <c r="J79" s="7"/>
      <c r="K79" s="19"/>
      <c r="L79" s="19"/>
      <c r="M79" s="24"/>
      <c r="N79" s="2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13"/>
      <c r="I80" s="15"/>
      <c r="J80" s="7"/>
      <c r="K80" s="19"/>
      <c r="L80" s="19"/>
      <c r="M80" s="24"/>
      <c r="N80" s="24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13"/>
      <c r="I81" s="15"/>
      <c r="J81" s="7"/>
      <c r="K81" s="19"/>
      <c r="L81" s="19"/>
      <c r="M81" s="24"/>
      <c r="N81" s="24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13"/>
      <c r="I82" s="15"/>
      <c r="J82" s="7"/>
      <c r="K82" s="19"/>
      <c r="L82" s="19"/>
      <c r="M82" s="24"/>
      <c r="N82" s="24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13"/>
      <c r="I83" s="15"/>
      <c r="J83" s="7"/>
      <c r="K83" s="19"/>
      <c r="L83" s="19"/>
      <c r="M83" s="24"/>
      <c r="N83" s="24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13"/>
      <c r="I84" s="15"/>
      <c r="J84" s="7"/>
      <c r="K84" s="19"/>
      <c r="L84" s="19"/>
      <c r="M84" s="24"/>
      <c r="N84" s="24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13"/>
      <c r="I85" s="15"/>
      <c r="J85" s="7"/>
      <c r="K85" s="19"/>
      <c r="L85" s="19"/>
      <c r="M85" s="24"/>
      <c r="N85" s="2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13"/>
      <c r="I86" s="15"/>
      <c r="J86" s="7"/>
      <c r="K86" s="19"/>
      <c r="L86" s="19"/>
      <c r="M86" s="24"/>
      <c r="N86" s="2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13"/>
      <c r="I87" s="15"/>
      <c r="J87" s="7"/>
      <c r="K87" s="19"/>
      <c r="L87" s="19"/>
      <c r="M87" s="24"/>
      <c r="N87" s="2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13"/>
      <c r="I88" s="15"/>
      <c r="J88" s="7"/>
      <c r="K88" s="19"/>
      <c r="L88" s="19"/>
      <c r="M88" s="24"/>
      <c r="N88" s="2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13"/>
      <c r="I89" s="15"/>
      <c r="J89" s="7"/>
      <c r="K89" s="19"/>
      <c r="L89" s="19"/>
      <c r="M89" s="24"/>
      <c r="N89" s="2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13"/>
      <c r="I90" s="15"/>
      <c r="J90" s="7"/>
      <c r="K90" s="19"/>
      <c r="L90" s="19"/>
      <c r="M90" s="24"/>
      <c r="N90" s="2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13"/>
      <c r="I91" s="15"/>
      <c r="J91" s="7"/>
      <c r="K91" s="19"/>
      <c r="L91" s="19"/>
      <c r="M91" s="24"/>
      <c r="N91" s="2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13"/>
      <c r="I92" s="15"/>
      <c r="J92" s="7"/>
      <c r="K92" s="19"/>
      <c r="L92" s="19"/>
      <c r="M92" s="24"/>
      <c r="N92" s="24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13"/>
      <c r="I93" s="15"/>
      <c r="J93" s="7"/>
      <c r="K93" s="19"/>
      <c r="L93" s="19"/>
      <c r="M93" s="24"/>
      <c r="N93" s="24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13"/>
      <c r="I94" s="15"/>
      <c r="J94" s="7"/>
      <c r="K94" s="19"/>
      <c r="L94" s="19"/>
      <c r="M94" s="24"/>
      <c r="N94" s="24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13"/>
      <c r="I95" s="15"/>
      <c r="J95" s="7"/>
      <c r="K95" s="19"/>
      <c r="L95" s="19"/>
      <c r="M95" s="24"/>
      <c r="N95" s="24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13"/>
      <c r="I96" s="15"/>
      <c r="J96" s="7"/>
      <c r="K96" s="19"/>
      <c r="L96" s="19"/>
      <c r="M96" s="24"/>
      <c r="N96" s="2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13"/>
      <c r="I97" s="15"/>
      <c r="J97" s="7"/>
      <c r="K97" s="19"/>
      <c r="L97" s="19"/>
      <c r="M97" s="24"/>
      <c r="N97" s="2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13"/>
      <c r="I98" s="15"/>
      <c r="J98" s="7"/>
      <c r="K98" s="19"/>
      <c r="L98" s="19"/>
      <c r="M98" s="24"/>
      <c r="N98" s="2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13"/>
      <c r="I99" s="15"/>
      <c r="J99" s="7"/>
      <c r="K99" s="19"/>
      <c r="L99" s="19"/>
      <c r="M99" s="24"/>
      <c r="N99" s="24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13"/>
      <c r="I100" s="15"/>
      <c r="J100" s="7"/>
      <c r="K100" s="19"/>
      <c r="L100" s="19"/>
      <c r="M100" s="24"/>
      <c r="N100" s="2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13"/>
      <c r="I101" s="15"/>
      <c r="J101" s="7"/>
      <c r="K101" s="19"/>
      <c r="L101" s="19"/>
      <c r="M101" s="24"/>
      <c r="N101" s="2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13"/>
      <c r="I102" s="15"/>
      <c r="J102" s="7"/>
      <c r="K102" s="19"/>
      <c r="L102" s="19"/>
      <c r="M102" s="24"/>
      <c r="N102" s="2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13"/>
      <c r="I103" s="15"/>
      <c r="J103" s="7"/>
      <c r="K103" s="19"/>
      <c r="L103" s="19"/>
      <c r="M103" s="24"/>
      <c r="N103" s="2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13"/>
      <c r="I104" s="15"/>
      <c r="J104" s="7"/>
      <c r="K104" s="19"/>
      <c r="L104" s="19"/>
      <c r="M104" s="24"/>
      <c r="N104" s="2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13"/>
      <c r="I105" s="15"/>
      <c r="J105" s="7"/>
      <c r="K105" s="19"/>
      <c r="L105" s="19"/>
      <c r="M105" s="24"/>
      <c r="N105" s="2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13"/>
      <c r="I106" s="15"/>
      <c r="J106" s="7"/>
      <c r="K106" s="19"/>
      <c r="L106" s="19"/>
      <c r="M106" s="24"/>
      <c r="N106" s="2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13"/>
      <c r="I107" s="15"/>
      <c r="J107" s="7"/>
      <c r="K107" s="19"/>
      <c r="L107" s="19"/>
      <c r="M107" s="24"/>
      <c r="N107" s="24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13"/>
      <c r="I108" s="15"/>
      <c r="J108" s="7"/>
      <c r="K108" s="19"/>
      <c r="L108" s="19"/>
      <c r="M108" s="24"/>
      <c r="N108" s="24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13"/>
      <c r="I109" s="15"/>
      <c r="J109" s="7"/>
      <c r="K109" s="19"/>
      <c r="L109" s="19"/>
      <c r="M109" s="24"/>
      <c r="N109" s="24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13"/>
      <c r="I110" s="15"/>
      <c r="J110" s="7"/>
      <c r="K110" s="19"/>
      <c r="L110" s="19"/>
      <c r="M110" s="24"/>
      <c r="N110" s="24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13"/>
      <c r="I111" s="15"/>
      <c r="J111" s="7"/>
      <c r="K111" s="19"/>
      <c r="L111" s="19"/>
      <c r="M111" s="24"/>
      <c r="N111" s="24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13"/>
      <c r="I112" s="15"/>
      <c r="J112" s="7"/>
      <c r="K112" s="19"/>
      <c r="L112" s="19"/>
      <c r="M112" s="24"/>
      <c r="N112" s="24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13"/>
      <c r="I113" s="15"/>
      <c r="J113" s="7"/>
      <c r="K113" s="19"/>
      <c r="L113" s="19"/>
      <c r="M113" s="24"/>
      <c r="N113" s="24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13"/>
      <c r="I114" s="15"/>
      <c r="J114" s="7"/>
      <c r="K114" s="19"/>
      <c r="L114" s="19"/>
      <c r="M114" s="24"/>
      <c r="N114" s="24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13"/>
      <c r="I115" s="15"/>
      <c r="J115" s="7"/>
      <c r="K115" s="19"/>
      <c r="L115" s="19"/>
      <c r="M115" s="24"/>
      <c r="N115" s="2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13"/>
      <c r="I116" s="15"/>
      <c r="J116" s="7"/>
      <c r="K116" s="19"/>
      <c r="L116" s="19"/>
      <c r="M116" s="24"/>
      <c r="N116" s="2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13"/>
      <c r="I117" s="15"/>
      <c r="J117" s="7"/>
      <c r="K117" s="19"/>
      <c r="L117" s="19"/>
      <c r="M117" s="24"/>
      <c r="N117" s="2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13"/>
      <c r="I118" s="15"/>
      <c r="J118" s="7"/>
      <c r="K118" s="19"/>
      <c r="L118" s="19"/>
      <c r="M118" s="24"/>
      <c r="N118" s="2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13"/>
      <c r="I119" s="15"/>
      <c r="J119" s="7"/>
      <c r="K119" s="19"/>
      <c r="L119" s="19"/>
      <c r="M119" s="24"/>
      <c r="N119" s="2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13"/>
      <c r="I120" s="15"/>
      <c r="J120" s="7"/>
      <c r="K120" s="19"/>
      <c r="L120" s="19"/>
      <c r="M120" s="24"/>
      <c r="N120" s="2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13"/>
      <c r="I121" s="15"/>
      <c r="J121" s="7"/>
      <c r="K121" s="19"/>
      <c r="L121" s="19"/>
      <c r="M121" s="24"/>
      <c r="N121" s="2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13"/>
      <c r="I122" s="15"/>
      <c r="J122" s="7"/>
      <c r="K122" s="19"/>
      <c r="L122" s="19"/>
      <c r="M122" s="24"/>
      <c r="N122" s="24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13"/>
      <c r="I123" s="15"/>
      <c r="J123" s="7"/>
      <c r="K123" s="19"/>
      <c r="L123" s="19"/>
      <c r="M123" s="24"/>
      <c r="N123" s="24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13"/>
      <c r="I124" s="15"/>
      <c r="J124" s="7"/>
      <c r="K124" s="19"/>
      <c r="L124" s="19"/>
      <c r="M124" s="24"/>
      <c r="N124" s="24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13"/>
      <c r="I125" s="15"/>
      <c r="J125" s="7"/>
      <c r="K125" s="19"/>
      <c r="L125" s="19"/>
      <c r="M125" s="24"/>
      <c r="N125" s="24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13"/>
      <c r="I126" s="15"/>
      <c r="J126" s="7"/>
      <c r="K126" s="19"/>
      <c r="L126" s="19"/>
      <c r="M126" s="24"/>
      <c r="N126" s="24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13"/>
      <c r="I127" s="15"/>
      <c r="J127" s="7"/>
      <c r="K127" s="19"/>
      <c r="L127" s="19"/>
      <c r="M127" s="24"/>
      <c r="N127" s="24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13"/>
      <c r="I128" s="15"/>
      <c r="J128" s="7"/>
      <c r="K128" s="19"/>
      <c r="L128" s="19"/>
      <c r="M128" s="24"/>
      <c r="N128" s="24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13"/>
      <c r="I129" s="15"/>
      <c r="J129" s="7"/>
      <c r="K129" s="19"/>
      <c r="L129" s="19"/>
      <c r="M129" s="24"/>
      <c r="N129" s="24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13"/>
      <c r="I130" s="15"/>
      <c r="J130" s="7"/>
      <c r="K130" s="19"/>
      <c r="L130" s="19"/>
      <c r="M130" s="24"/>
      <c r="N130" s="2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13"/>
      <c r="I131" s="15"/>
      <c r="J131" s="7"/>
      <c r="K131" s="19"/>
      <c r="L131" s="19"/>
      <c r="M131" s="24"/>
      <c r="N131" s="2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13"/>
      <c r="I132" s="15"/>
      <c r="J132" s="7"/>
      <c r="K132" s="19"/>
      <c r="L132" s="19"/>
      <c r="M132" s="24"/>
      <c r="N132" s="2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13"/>
      <c r="I133" s="15"/>
      <c r="J133" s="7"/>
      <c r="K133" s="19"/>
      <c r="L133" s="19"/>
      <c r="M133" s="24"/>
      <c r="N133" s="2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13"/>
      <c r="I134" s="15"/>
      <c r="J134" s="7"/>
      <c r="K134" s="19"/>
      <c r="L134" s="19"/>
      <c r="M134" s="24"/>
      <c r="N134" s="2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13"/>
      <c r="I135" s="15"/>
      <c r="J135" s="7"/>
      <c r="K135" s="19"/>
      <c r="L135" s="19"/>
      <c r="M135" s="24"/>
      <c r="N135" s="2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13"/>
      <c r="I136" s="15"/>
      <c r="J136" s="7"/>
      <c r="K136" s="19"/>
      <c r="L136" s="19"/>
      <c r="M136" s="24"/>
      <c r="N136" s="2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13"/>
      <c r="I137" s="15"/>
      <c r="J137" s="7"/>
      <c r="K137" s="19"/>
      <c r="L137" s="19"/>
      <c r="M137" s="24"/>
      <c r="N137" s="24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13"/>
      <c r="I138" s="15"/>
      <c r="J138" s="7"/>
      <c r="K138" s="19"/>
      <c r="L138" s="19"/>
      <c r="M138" s="24"/>
      <c r="N138" s="2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13"/>
      <c r="I139" s="15"/>
      <c r="J139" s="7"/>
      <c r="K139" s="19"/>
      <c r="L139" s="19"/>
      <c r="M139" s="24"/>
      <c r="N139" s="2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13"/>
      <c r="I140" s="15"/>
      <c r="J140" s="7"/>
      <c r="K140" s="19"/>
      <c r="L140" s="19"/>
      <c r="M140" s="24"/>
      <c r="N140" s="2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13"/>
      <c r="I141" s="15"/>
      <c r="J141" s="7"/>
      <c r="K141" s="19"/>
      <c r="L141" s="19"/>
      <c r="M141" s="24"/>
      <c r="N141" s="2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13"/>
      <c r="I142" s="15"/>
      <c r="J142" s="7"/>
      <c r="K142" s="19"/>
      <c r="L142" s="19"/>
      <c r="M142" s="24"/>
      <c r="N142" s="2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13"/>
      <c r="I143" s="15"/>
      <c r="J143" s="7"/>
      <c r="K143" s="19"/>
      <c r="L143" s="19"/>
      <c r="M143" s="24"/>
      <c r="N143" s="2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13"/>
      <c r="I144" s="15"/>
      <c r="J144" s="7"/>
      <c r="K144" s="19"/>
      <c r="L144" s="19"/>
      <c r="M144" s="24"/>
      <c r="N144" s="2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13"/>
      <c r="I145" s="15"/>
      <c r="J145" s="7"/>
      <c r="K145" s="19"/>
      <c r="L145" s="19"/>
      <c r="M145" s="24"/>
      <c r="N145" s="2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13"/>
      <c r="I146" s="15"/>
      <c r="J146" s="7"/>
      <c r="K146" s="19"/>
      <c r="L146" s="19"/>
      <c r="M146" s="24"/>
      <c r="N146" s="2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13"/>
      <c r="I147" s="15"/>
      <c r="J147" s="7"/>
      <c r="K147" s="19"/>
      <c r="L147" s="19"/>
      <c r="M147" s="24"/>
      <c r="N147" s="2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13"/>
      <c r="I148" s="15"/>
      <c r="J148" s="7"/>
      <c r="K148" s="19"/>
      <c r="L148" s="19"/>
      <c r="M148" s="24"/>
      <c r="N148" s="2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13"/>
      <c r="I149" s="15"/>
      <c r="J149" s="7"/>
      <c r="K149" s="19"/>
      <c r="L149" s="19"/>
      <c r="M149" s="24"/>
      <c r="N149" s="2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13"/>
      <c r="I150" s="15"/>
      <c r="J150" s="7"/>
      <c r="K150" s="19"/>
      <c r="L150" s="19"/>
      <c r="M150" s="24"/>
      <c r="N150" s="2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13"/>
      <c r="I151" s="15"/>
      <c r="J151" s="7"/>
      <c r="K151" s="19"/>
      <c r="L151" s="19"/>
      <c r="M151" s="24"/>
      <c r="N151" s="2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13"/>
      <c r="I152" s="15"/>
      <c r="J152" s="7"/>
      <c r="K152" s="19"/>
      <c r="L152" s="19"/>
      <c r="M152" s="24"/>
      <c r="N152" s="2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13"/>
      <c r="I153" s="15"/>
      <c r="J153" s="7"/>
      <c r="K153" s="19"/>
      <c r="L153" s="19"/>
      <c r="M153" s="24"/>
      <c r="N153" s="24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13"/>
      <c r="I154" s="15"/>
      <c r="J154" s="7"/>
      <c r="K154" s="19"/>
      <c r="L154" s="19"/>
      <c r="M154" s="24"/>
      <c r="N154" s="24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13"/>
      <c r="I155" s="15"/>
      <c r="J155" s="7"/>
      <c r="K155" s="19"/>
      <c r="L155" s="19"/>
      <c r="M155" s="24"/>
      <c r="N155" s="24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13"/>
      <c r="I156" s="15"/>
      <c r="J156" s="7"/>
      <c r="K156" s="19"/>
      <c r="L156" s="19"/>
      <c r="M156" s="24"/>
      <c r="N156" s="24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13"/>
      <c r="I157" s="15"/>
      <c r="J157" s="7"/>
      <c r="K157" s="19"/>
      <c r="L157" s="19"/>
      <c r="M157" s="24"/>
      <c r="N157" s="24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13"/>
      <c r="I158" s="15"/>
      <c r="J158" s="7"/>
      <c r="K158" s="19"/>
      <c r="L158" s="19"/>
      <c r="M158" s="24"/>
      <c r="N158" s="24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13"/>
      <c r="I159" s="15"/>
      <c r="J159" s="7"/>
      <c r="K159" s="19"/>
      <c r="L159" s="19"/>
      <c r="M159" s="24"/>
      <c r="N159" s="24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13"/>
      <c r="I160" s="15"/>
      <c r="J160" s="7"/>
      <c r="K160" s="19"/>
      <c r="L160" s="19"/>
      <c r="M160" s="24"/>
      <c r="N160" s="24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13"/>
      <c r="I161" s="15"/>
      <c r="J161" s="7"/>
      <c r="K161" s="19"/>
      <c r="L161" s="19"/>
      <c r="M161" s="24"/>
      <c r="N161" s="2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13"/>
      <c r="I162" s="15"/>
      <c r="J162" s="7"/>
      <c r="K162" s="19"/>
      <c r="L162" s="19"/>
      <c r="M162" s="24"/>
      <c r="N162" s="2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13"/>
      <c r="I163" s="15"/>
      <c r="J163" s="7"/>
      <c r="K163" s="19"/>
      <c r="L163" s="19"/>
      <c r="M163" s="24"/>
      <c r="N163" s="2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13"/>
      <c r="I164" s="15"/>
      <c r="J164" s="7"/>
      <c r="K164" s="19"/>
      <c r="L164" s="19"/>
      <c r="M164" s="24"/>
      <c r="N164" s="2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13"/>
      <c r="I165" s="15"/>
      <c r="J165" s="7"/>
      <c r="K165" s="19"/>
      <c r="L165" s="19"/>
      <c r="M165" s="24"/>
      <c r="N165" s="2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13"/>
      <c r="I166" s="15"/>
      <c r="J166" s="7"/>
      <c r="K166" s="19"/>
      <c r="L166" s="19"/>
      <c r="M166" s="24"/>
      <c r="N166" s="2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13"/>
      <c r="I167" s="15"/>
      <c r="J167" s="7"/>
      <c r="K167" s="19"/>
      <c r="L167" s="19"/>
      <c r="M167" s="24"/>
      <c r="N167" s="2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13"/>
      <c r="I168" s="15"/>
      <c r="J168" s="7"/>
      <c r="K168" s="19"/>
      <c r="L168" s="19"/>
      <c r="M168" s="24"/>
      <c r="N168" s="2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13"/>
      <c r="I169" s="15"/>
      <c r="J169" s="7"/>
      <c r="K169" s="19"/>
      <c r="L169" s="19"/>
      <c r="M169" s="24"/>
      <c r="N169" s="24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13"/>
      <c r="I170" s="15"/>
      <c r="J170" s="7"/>
      <c r="K170" s="19"/>
      <c r="L170" s="19"/>
      <c r="M170" s="24"/>
      <c r="N170" s="24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13"/>
      <c r="I171" s="15"/>
      <c r="J171" s="7"/>
      <c r="K171" s="19"/>
      <c r="L171" s="19"/>
      <c r="M171" s="24"/>
      <c r="N171" s="24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13"/>
      <c r="I172" s="15"/>
      <c r="J172" s="7"/>
      <c r="K172" s="19"/>
      <c r="L172" s="19"/>
      <c r="M172" s="24"/>
      <c r="N172" s="24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13"/>
      <c r="I173" s="15"/>
      <c r="J173" s="7"/>
      <c r="K173" s="19"/>
      <c r="L173" s="19"/>
      <c r="M173" s="24"/>
      <c r="N173" s="24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13"/>
      <c r="I174" s="15"/>
      <c r="J174" s="7"/>
      <c r="K174" s="19"/>
      <c r="L174" s="19"/>
      <c r="M174" s="24"/>
      <c r="N174" s="24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13"/>
      <c r="I175" s="15"/>
      <c r="J175" s="7"/>
      <c r="K175" s="19"/>
      <c r="L175" s="19"/>
      <c r="M175" s="24"/>
      <c r="N175" s="24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13"/>
      <c r="I176" s="15"/>
      <c r="J176" s="7"/>
      <c r="K176" s="19"/>
      <c r="L176" s="19"/>
      <c r="M176" s="24"/>
      <c r="N176" s="24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13"/>
      <c r="I177" s="15"/>
      <c r="J177" s="7"/>
      <c r="K177" s="19"/>
      <c r="L177" s="19"/>
      <c r="M177" s="24"/>
      <c r="N177" s="2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13"/>
      <c r="I178" s="15"/>
      <c r="J178" s="7"/>
      <c r="K178" s="19"/>
      <c r="L178" s="19"/>
      <c r="M178" s="24"/>
      <c r="N178" s="2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13"/>
      <c r="I179" s="15"/>
      <c r="J179" s="7"/>
      <c r="K179" s="19"/>
      <c r="L179" s="19"/>
      <c r="M179" s="24"/>
      <c r="N179" s="2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13"/>
      <c r="I180" s="15"/>
      <c r="J180" s="7"/>
      <c r="K180" s="19"/>
      <c r="L180" s="19"/>
      <c r="M180" s="24"/>
      <c r="N180" s="2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13"/>
      <c r="I181" s="15"/>
      <c r="J181" s="7"/>
      <c r="K181" s="19"/>
      <c r="L181" s="19"/>
      <c r="M181" s="24"/>
      <c r="N181" s="2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13"/>
      <c r="I182" s="15"/>
      <c r="J182" s="7"/>
      <c r="K182" s="19"/>
      <c r="L182" s="19"/>
      <c r="M182" s="24"/>
      <c r="N182" s="2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13"/>
      <c r="I183" s="15"/>
      <c r="J183" s="7"/>
      <c r="K183" s="19"/>
      <c r="L183" s="19"/>
      <c r="M183" s="24"/>
      <c r="N183" s="2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13"/>
      <c r="I184" s="15"/>
      <c r="J184" s="7"/>
      <c r="K184" s="19"/>
      <c r="L184" s="19"/>
      <c r="M184" s="24"/>
      <c r="N184" s="2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13"/>
      <c r="I185" s="15"/>
      <c r="J185" s="7"/>
      <c r="K185" s="19"/>
      <c r="L185" s="19"/>
      <c r="M185" s="24"/>
      <c r="N185" s="24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13"/>
      <c r="I186" s="15"/>
      <c r="J186" s="7"/>
      <c r="K186" s="19"/>
      <c r="L186" s="19"/>
      <c r="M186" s="24"/>
      <c r="N186" s="24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13"/>
      <c r="I187" s="15"/>
      <c r="J187" s="7"/>
      <c r="K187" s="19"/>
      <c r="L187" s="19"/>
      <c r="M187" s="24"/>
      <c r="N187" s="24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13"/>
      <c r="I188" s="15"/>
      <c r="J188" s="7"/>
      <c r="K188" s="19"/>
      <c r="L188" s="19"/>
      <c r="M188" s="24"/>
      <c r="N188" s="24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13"/>
      <c r="I189" s="15"/>
      <c r="J189" s="7"/>
      <c r="K189" s="19"/>
      <c r="L189" s="19"/>
      <c r="M189" s="24"/>
      <c r="N189" s="24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13"/>
      <c r="I190" s="15"/>
      <c r="J190" s="7"/>
      <c r="K190" s="19"/>
      <c r="L190" s="19"/>
      <c r="M190" s="24"/>
      <c r="N190" s="24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13"/>
      <c r="I191" s="15"/>
      <c r="J191" s="7"/>
      <c r="K191" s="19"/>
      <c r="L191" s="19"/>
      <c r="M191" s="24"/>
      <c r="N191" s="24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13"/>
      <c r="I192" s="15"/>
      <c r="J192" s="7"/>
      <c r="K192" s="19"/>
      <c r="L192" s="19"/>
      <c r="M192" s="24"/>
      <c r="N192" s="24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13"/>
      <c r="I193" s="15"/>
      <c r="J193" s="7"/>
      <c r="K193" s="19"/>
      <c r="L193" s="19"/>
      <c r="M193" s="24"/>
      <c r="N193" s="2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13"/>
      <c r="I194" s="15"/>
      <c r="J194" s="7"/>
      <c r="K194" s="19"/>
      <c r="L194" s="19"/>
      <c r="M194" s="24"/>
      <c r="N194" s="2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13"/>
      <c r="I195" s="15"/>
      <c r="J195" s="7"/>
      <c r="K195" s="19"/>
      <c r="L195" s="19"/>
      <c r="M195" s="24"/>
      <c r="N195" s="2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13"/>
      <c r="I196" s="15"/>
      <c r="J196" s="7"/>
      <c r="K196" s="19"/>
      <c r="L196" s="19"/>
      <c r="M196" s="24"/>
      <c r="N196" s="2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13"/>
      <c r="I197" s="15"/>
      <c r="J197" s="7"/>
      <c r="K197" s="19"/>
      <c r="L197" s="19"/>
      <c r="M197" s="24"/>
      <c r="N197" s="2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13"/>
      <c r="I198" s="15"/>
      <c r="J198" s="7"/>
      <c r="K198" s="19"/>
      <c r="L198" s="19"/>
      <c r="M198" s="24"/>
      <c r="N198" s="2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13"/>
      <c r="I199" s="15"/>
      <c r="J199" s="7"/>
      <c r="K199" s="19"/>
      <c r="L199" s="19"/>
      <c r="M199" s="24"/>
      <c r="N199" s="2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13"/>
      <c r="I200" s="15"/>
      <c r="J200" s="7"/>
      <c r="K200" s="19"/>
      <c r="L200" s="19"/>
      <c r="M200" s="24"/>
      <c r="N200" s="2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13"/>
      <c r="I201" s="15"/>
      <c r="J201" s="7"/>
      <c r="K201" s="19"/>
      <c r="L201" s="19"/>
      <c r="M201" s="24"/>
      <c r="N201" s="24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13"/>
      <c r="I202" s="15"/>
      <c r="J202" s="7"/>
      <c r="K202" s="19"/>
      <c r="L202" s="19"/>
      <c r="M202" s="24"/>
      <c r="N202" s="24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13"/>
      <c r="I203" s="15"/>
      <c r="J203" s="7"/>
      <c r="K203" s="19"/>
      <c r="L203" s="19"/>
      <c r="M203" s="24"/>
      <c r="N203" s="24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13"/>
      <c r="I204" s="15"/>
      <c r="J204" s="7"/>
      <c r="K204" s="19"/>
      <c r="L204" s="19"/>
      <c r="M204" s="24"/>
      <c r="N204" s="24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13"/>
      <c r="I205" s="15"/>
      <c r="J205" s="7"/>
      <c r="K205" s="19"/>
      <c r="L205" s="19"/>
      <c r="M205" s="24"/>
      <c r="N205" s="24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13"/>
      <c r="I206" s="15"/>
      <c r="J206" s="7"/>
      <c r="K206" s="19"/>
      <c r="L206" s="19"/>
      <c r="M206" s="24"/>
      <c r="N206" s="24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13"/>
      <c r="I207" s="15"/>
      <c r="J207" s="7"/>
      <c r="K207" s="19"/>
      <c r="L207" s="19"/>
      <c r="M207" s="24"/>
      <c r="N207" s="24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13"/>
      <c r="I208" s="15"/>
      <c r="J208" s="7"/>
      <c r="K208" s="19"/>
      <c r="L208" s="19"/>
      <c r="M208" s="24"/>
      <c r="N208" s="24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13"/>
      <c r="I209" s="15"/>
      <c r="J209" s="7"/>
      <c r="K209" s="19"/>
      <c r="L209" s="19"/>
      <c r="M209" s="24"/>
      <c r="N209" s="2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13"/>
      <c r="I210" s="15"/>
      <c r="J210" s="7"/>
      <c r="K210" s="19"/>
      <c r="L210" s="19"/>
      <c r="M210" s="24"/>
      <c r="N210" s="2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13"/>
      <c r="I211" s="15"/>
      <c r="J211" s="7"/>
      <c r="K211" s="19"/>
      <c r="L211" s="19"/>
      <c r="M211" s="24"/>
      <c r="N211" s="2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13"/>
      <c r="I212" s="15"/>
      <c r="J212" s="7"/>
      <c r="K212" s="19"/>
      <c r="L212" s="19"/>
      <c r="M212" s="24"/>
      <c r="N212" s="2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13"/>
      <c r="I213" s="15"/>
      <c r="J213" s="7"/>
      <c r="K213" s="19"/>
      <c r="L213" s="19"/>
      <c r="M213" s="24"/>
      <c r="N213" s="2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13"/>
      <c r="I214" s="15"/>
      <c r="J214" s="7"/>
      <c r="K214" s="19"/>
      <c r="L214" s="19"/>
      <c r="M214" s="24"/>
      <c r="N214" s="2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13"/>
      <c r="I215" s="15"/>
      <c r="J215" s="7"/>
      <c r="K215" s="19"/>
      <c r="L215" s="19"/>
      <c r="M215" s="24"/>
      <c r="N215" s="2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13"/>
      <c r="I216" s="15"/>
      <c r="J216" s="7"/>
      <c r="K216" s="19"/>
      <c r="L216" s="19"/>
      <c r="M216" s="24"/>
      <c r="N216" s="2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13"/>
      <c r="I217" s="15"/>
      <c r="J217" s="7"/>
      <c r="K217" s="19"/>
      <c r="L217" s="19"/>
      <c r="M217" s="24"/>
      <c r="N217" s="2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13"/>
      <c r="I218" s="15"/>
      <c r="J218" s="7"/>
      <c r="K218" s="19"/>
      <c r="L218" s="19"/>
      <c r="M218" s="24"/>
      <c r="N218" s="24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13"/>
      <c r="I219" s="15"/>
      <c r="J219" s="7"/>
      <c r="K219" s="19"/>
      <c r="L219" s="19"/>
      <c r="M219" s="24"/>
      <c r="N219" s="24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13"/>
      <c r="I220" s="15"/>
      <c r="J220" s="7"/>
      <c r="K220" s="19"/>
      <c r="L220" s="19"/>
      <c r="M220" s="24"/>
      <c r="N220" s="24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13"/>
      <c r="I221" s="15"/>
      <c r="J221" s="7"/>
      <c r="K221" s="19"/>
      <c r="L221" s="19"/>
      <c r="M221" s="24"/>
      <c r="N221" s="24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13"/>
      <c r="I222" s="15"/>
      <c r="J222" s="7"/>
      <c r="K222" s="19"/>
      <c r="L222" s="19"/>
      <c r="M222" s="24"/>
      <c r="N222" s="24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13"/>
      <c r="I223" s="15"/>
      <c r="J223" s="7"/>
      <c r="K223" s="19"/>
      <c r="L223" s="19"/>
      <c r="M223" s="24"/>
      <c r="N223" s="24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13"/>
      <c r="I224" s="15"/>
      <c r="J224" s="7"/>
      <c r="K224" s="19"/>
      <c r="L224" s="19"/>
      <c r="M224" s="24"/>
      <c r="N224" s="24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13"/>
      <c r="I225" s="15"/>
      <c r="J225" s="7"/>
      <c r="K225" s="19"/>
      <c r="L225" s="19"/>
      <c r="M225" s="24"/>
      <c r="N225" s="24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13"/>
      <c r="I226" s="15"/>
      <c r="J226" s="7"/>
      <c r="K226" s="19"/>
      <c r="L226" s="19"/>
      <c r="M226" s="24"/>
      <c r="N226" s="2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13"/>
      <c r="I227" s="15"/>
      <c r="J227" s="7"/>
      <c r="K227" s="19"/>
      <c r="L227" s="19"/>
      <c r="M227" s="24"/>
      <c r="N227" s="2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13"/>
      <c r="I228" s="15"/>
      <c r="J228" s="7"/>
      <c r="K228" s="19"/>
      <c r="L228" s="19"/>
      <c r="M228" s="24"/>
      <c r="N228" s="2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13"/>
      <c r="I229" s="15"/>
      <c r="J229" s="7"/>
      <c r="K229" s="19"/>
      <c r="L229" s="19"/>
      <c r="M229" s="24"/>
      <c r="N229" s="2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13"/>
      <c r="I230" s="15"/>
      <c r="J230" s="7"/>
      <c r="K230" s="19"/>
      <c r="L230" s="19"/>
      <c r="M230" s="24"/>
      <c r="N230" s="2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13"/>
      <c r="I231" s="15"/>
      <c r="J231" s="7"/>
      <c r="K231" s="19"/>
      <c r="L231" s="19"/>
      <c r="M231" s="24"/>
      <c r="N231" s="2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13"/>
      <c r="I232" s="15"/>
      <c r="J232" s="7"/>
      <c r="K232" s="19"/>
      <c r="L232" s="19"/>
      <c r="M232" s="24"/>
      <c r="N232" s="2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13"/>
      <c r="I233" s="15"/>
      <c r="J233" s="7"/>
      <c r="K233" s="19"/>
      <c r="L233" s="19"/>
      <c r="M233" s="24"/>
      <c r="N233" s="2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13"/>
      <c r="I234" s="15"/>
      <c r="J234" s="7"/>
      <c r="K234" s="19"/>
      <c r="L234" s="19"/>
      <c r="M234" s="24"/>
      <c r="N234" s="2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13"/>
      <c r="I235" s="15"/>
      <c r="J235" s="7"/>
      <c r="K235" s="19"/>
      <c r="L235" s="19"/>
      <c r="M235" s="24"/>
      <c r="N235" s="24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13"/>
      <c r="I236" s="15"/>
      <c r="J236" s="7"/>
      <c r="K236" s="19"/>
      <c r="L236" s="19"/>
      <c r="M236" s="24"/>
      <c r="N236" s="24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13"/>
      <c r="I237" s="15"/>
      <c r="J237" s="7"/>
      <c r="K237" s="19"/>
      <c r="L237" s="19"/>
      <c r="M237" s="24"/>
      <c r="N237" s="24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13"/>
      <c r="I238" s="15"/>
      <c r="J238" s="7"/>
      <c r="K238" s="19"/>
      <c r="L238" s="19"/>
      <c r="M238" s="24"/>
      <c r="N238" s="24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13"/>
      <c r="I239" s="15"/>
      <c r="J239" s="7"/>
      <c r="K239" s="19"/>
      <c r="L239" s="19"/>
      <c r="M239" s="24"/>
      <c r="N239" s="24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13"/>
      <c r="I240" s="15"/>
      <c r="J240" s="7"/>
      <c r="K240" s="19"/>
      <c r="L240" s="19"/>
      <c r="M240" s="24"/>
      <c r="N240" s="24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13"/>
      <c r="I241" s="15"/>
      <c r="J241" s="7"/>
      <c r="K241" s="19"/>
      <c r="L241" s="19"/>
      <c r="M241" s="24"/>
      <c r="N241" s="24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13"/>
      <c r="I242" s="15"/>
      <c r="J242" s="7"/>
      <c r="K242" s="19"/>
      <c r="L242" s="19"/>
      <c r="M242" s="24"/>
      <c r="N242" s="24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13"/>
      <c r="I243" s="15"/>
      <c r="J243" s="7"/>
      <c r="K243" s="19"/>
      <c r="L243" s="19"/>
      <c r="M243" s="24"/>
      <c r="N243" s="2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13"/>
      <c r="I244" s="15"/>
      <c r="J244" s="7"/>
      <c r="K244" s="19"/>
      <c r="L244" s="19"/>
      <c r="M244" s="24"/>
      <c r="N244" s="2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13"/>
      <c r="I245" s="15"/>
      <c r="J245" s="7"/>
      <c r="K245" s="19"/>
      <c r="L245" s="19"/>
      <c r="M245" s="24"/>
      <c r="N245" s="2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13"/>
      <c r="I246" s="15"/>
      <c r="J246" s="7"/>
      <c r="K246" s="19"/>
      <c r="L246" s="19"/>
      <c r="M246" s="24"/>
      <c r="N246" s="2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13"/>
      <c r="I247" s="15"/>
      <c r="J247" s="7"/>
      <c r="K247" s="19"/>
      <c r="L247" s="19"/>
      <c r="M247" s="24"/>
      <c r="N247" s="2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13"/>
      <c r="I248" s="15"/>
      <c r="J248" s="7"/>
      <c r="K248" s="19"/>
      <c r="L248" s="19"/>
      <c r="M248" s="24"/>
      <c r="N248" s="2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13"/>
      <c r="I249" s="15"/>
      <c r="J249" s="7"/>
      <c r="K249" s="19"/>
      <c r="L249" s="19"/>
      <c r="M249" s="24"/>
      <c r="N249" s="2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13"/>
      <c r="I250" s="15"/>
      <c r="J250" s="7"/>
      <c r="K250" s="19"/>
      <c r="L250" s="19"/>
      <c r="M250" s="24"/>
      <c r="N250" s="2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13"/>
      <c r="I251" s="15"/>
      <c r="J251" s="7"/>
      <c r="K251" s="19"/>
      <c r="L251" s="19"/>
      <c r="M251" s="24"/>
      <c r="N251" s="2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13"/>
      <c r="I252" s="15"/>
      <c r="J252" s="7"/>
      <c r="K252" s="19"/>
      <c r="L252" s="19"/>
      <c r="M252" s="24"/>
      <c r="N252" s="24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13"/>
      <c r="I253" s="15"/>
      <c r="J253" s="7"/>
      <c r="K253" s="19"/>
      <c r="L253" s="19"/>
      <c r="M253" s="24"/>
      <c r="N253" s="24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13"/>
      <c r="I254" s="15"/>
      <c r="J254" s="7"/>
      <c r="K254" s="19"/>
      <c r="L254" s="19"/>
      <c r="M254" s="24"/>
      <c r="N254" s="24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13"/>
      <c r="I255" s="15"/>
      <c r="J255" s="7"/>
      <c r="K255" s="19"/>
      <c r="L255" s="19"/>
      <c r="M255" s="24"/>
      <c r="N255" s="24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13"/>
      <c r="I256" s="15"/>
      <c r="J256" s="7"/>
      <c r="K256" s="19"/>
      <c r="L256" s="19"/>
      <c r="M256" s="24"/>
      <c r="N256" s="24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13"/>
      <c r="I257" s="15"/>
      <c r="J257" s="7"/>
      <c r="K257" s="19"/>
      <c r="L257" s="19"/>
      <c r="M257" s="24"/>
      <c r="N257" s="24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13"/>
      <c r="I258" s="15"/>
      <c r="J258" s="7"/>
      <c r="K258" s="19"/>
      <c r="L258" s="19"/>
      <c r="M258" s="24"/>
      <c r="N258" s="24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13"/>
      <c r="I259" s="15"/>
      <c r="J259" s="7"/>
      <c r="K259" s="19"/>
      <c r="L259" s="19"/>
      <c r="M259" s="24"/>
      <c r="N259" s="24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13"/>
      <c r="I260" s="15"/>
      <c r="J260" s="7"/>
      <c r="K260" s="19"/>
      <c r="L260" s="19"/>
      <c r="M260" s="24"/>
      <c r="N260" s="2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13"/>
      <c r="I261" s="15"/>
      <c r="J261" s="7"/>
      <c r="K261" s="19"/>
      <c r="L261" s="19"/>
      <c r="M261" s="24"/>
      <c r="N261" s="2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13"/>
      <c r="I262" s="15"/>
      <c r="J262" s="7"/>
      <c r="K262" s="19"/>
      <c r="L262" s="19"/>
      <c r="M262" s="24"/>
      <c r="N262" s="2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13"/>
      <c r="I263" s="15"/>
      <c r="J263" s="7"/>
      <c r="K263" s="19"/>
      <c r="L263" s="19"/>
      <c r="M263" s="24"/>
      <c r="N263" s="2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13"/>
      <c r="I264" s="15"/>
      <c r="J264" s="7"/>
      <c r="K264" s="19"/>
      <c r="L264" s="19"/>
      <c r="M264" s="24"/>
      <c r="N264" s="2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13"/>
      <c r="I265" s="15"/>
      <c r="J265" s="7"/>
      <c r="K265" s="19"/>
      <c r="L265" s="19"/>
      <c r="M265" s="24"/>
      <c r="N265" s="2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13"/>
      <c r="I266" s="15"/>
      <c r="J266" s="7"/>
      <c r="K266" s="19"/>
      <c r="L266" s="19"/>
      <c r="M266" s="24"/>
      <c r="N266" s="2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13"/>
      <c r="I267" s="15"/>
      <c r="J267" s="7"/>
      <c r="K267" s="19"/>
      <c r="L267" s="19"/>
      <c r="M267" s="24"/>
      <c r="N267" s="2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13"/>
      <c r="I268" s="15"/>
      <c r="J268" s="7"/>
      <c r="K268" s="19"/>
      <c r="L268" s="19"/>
      <c r="M268" s="24"/>
      <c r="N268" s="2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13"/>
      <c r="I269" s="15"/>
      <c r="J269" s="7"/>
      <c r="K269" s="19"/>
      <c r="L269" s="19"/>
      <c r="M269" s="24"/>
      <c r="N269" s="24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13"/>
      <c r="I270" s="15"/>
      <c r="J270" s="7"/>
      <c r="K270" s="19"/>
      <c r="L270" s="19"/>
      <c r="M270" s="24"/>
      <c r="N270" s="24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13"/>
      <c r="I271" s="15"/>
      <c r="J271" s="7"/>
      <c r="K271" s="19"/>
      <c r="L271" s="19"/>
      <c r="M271" s="24"/>
      <c r="N271" s="24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13"/>
      <c r="I272" s="15"/>
      <c r="J272" s="7"/>
      <c r="K272" s="19"/>
      <c r="L272" s="19"/>
      <c r="M272" s="24"/>
      <c r="N272" s="24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13"/>
      <c r="I273" s="15"/>
      <c r="J273" s="7"/>
      <c r="K273" s="19"/>
      <c r="L273" s="19"/>
      <c r="M273" s="24"/>
      <c r="N273" s="24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13"/>
      <c r="I274" s="15"/>
      <c r="J274" s="7"/>
      <c r="K274" s="19"/>
      <c r="L274" s="19"/>
      <c r="M274" s="24"/>
      <c r="N274" s="24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13"/>
      <c r="I275" s="15"/>
      <c r="J275" s="7"/>
      <c r="K275" s="19"/>
      <c r="L275" s="19"/>
      <c r="M275" s="24"/>
      <c r="N275" s="2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13"/>
      <c r="I276" s="15"/>
      <c r="J276" s="7"/>
      <c r="K276" s="19"/>
      <c r="L276" s="19"/>
      <c r="M276" s="24"/>
      <c r="N276" s="24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13"/>
      <c r="I277" s="15"/>
      <c r="J277" s="7"/>
      <c r="K277" s="19"/>
      <c r="L277" s="19"/>
      <c r="M277" s="24"/>
      <c r="N277" s="2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13"/>
      <c r="I278" s="15"/>
      <c r="J278" s="7"/>
      <c r="K278" s="19"/>
      <c r="L278" s="19"/>
      <c r="M278" s="24"/>
      <c r="N278" s="2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13"/>
      <c r="I279" s="15"/>
      <c r="J279" s="7"/>
      <c r="K279" s="19"/>
      <c r="L279" s="19"/>
      <c r="M279" s="24"/>
      <c r="N279" s="2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13"/>
      <c r="I280" s="15"/>
      <c r="J280" s="7"/>
      <c r="K280" s="19"/>
      <c r="L280" s="19"/>
      <c r="M280" s="24"/>
      <c r="N280" s="2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13"/>
      <c r="I281" s="15"/>
      <c r="J281" s="7"/>
      <c r="K281" s="19"/>
      <c r="L281" s="19"/>
      <c r="M281" s="24"/>
      <c r="N281" s="2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13"/>
      <c r="I282" s="15"/>
      <c r="J282" s="7"/>
      <c r="K282" s="19"/>
      <c r="L282" s="19"/>
      <c r="M282" s="24"/>
      <c r="N282" s="2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13"/>
      <c r="I283" s="15"/>
      <c r="J283" s="7"/>
      <c r="K283" s="19"/>
      <c r="L283" s="19"/>
      <c r="M283" s="24"/>
      <c r="N283" s="2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13"/>
      <c r="I284" s="15"/>
      <c r="J284" s="7"/>
      <c r="K284" s="19"/>
      <c r="L284" s="19"/>
      <c r="M284" s="24"/>
      <c r="N284" s="2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13"/>
      <c r="I285" s="15"/>
      <c r="J285" s="7"/>
      <c r="K285" s="19"/>
      <c r="L285" s="19"/>
      <c r="M285" s="24"/>
      <c r="N285" s="2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13"/>
      <c r="I286" s="15"/>
      <c r="J286" s="7"/>
      <c r="K286" s="19"/>
      <c r="L286" s="19"/>
      <c r="M286" s="24"/>
      <c r="N286" s="2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13"/>
      <c r="I287" s="15"/>
      <c r="J287" s="7"/>
      <c r="K287" s="19"/>
      <c r="L287" s="19"/>
      <c r="M287" s="24"/>
      <c r="N287" s="2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13"/>
      <c r="I288" s="15"/>
      <c r="J288" s="7"/>
      <c r="K288" s="19"/>
      <c r="L288" s="19"/>
      <c r="M288" s="24"/>
      <c r="N288" s="24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13"/>
      <c r="I289" s="15"/>
      <c r="J289" s="7"/>
      <c r="K289" s="19"/>
      <c r="L289" s="19"/>
      <c r="M289" s="24"/>
      <c r="N289" s="24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13"/>
      <c r="I290" s="15"/>
      <c r="J290" s="7"/>
      <c r="K290" s="19"/>
      <c r="L290" s="19"/>
      <c r="M290" s="24"/>
      <c r="N290" s="24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13"/>
      <c r="I291" s="15"/>
      <c r="J291" s="7"/>
      <c r="K291" s="19"/>
      <c r="L291" s="19"/>
      <c r="M291" s="24"/>
      <c r="N291" s="24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13"/>
      <c r="I292" s="15"/>
      <c r="J292" s="7"/>
      <c r="K292" s="19"/>
      <c r="L292" s="19"/>
      <c r="M292" s="24"/>
      <c r="N292" s="24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13"/>
      <c r="I293" s="15"/>
      <c r="J293" s="7"/>
      <c r="K293" s="19"/>
      <c r="L293" s="19"/>
      <c r="M293" s="24"/>
      <c r="N293" s="24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13"/>
      <c r="I294" s="15"/>
      <c r="J294" s="7"/>
      <c r="K294" s="19"/>
      <c r="L294" s="19"/>
      <c r="M294" s="24"/>
      <c r="N294" s="24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13"/>
      <c r="I295" s="15"/>
      <c r="J295" s="7"/>
      <c r="K295" s="19"/>
      <c r="L295" s="19"/>
      <c r="M295" s="24"/>
      <c r="N295" s="24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13"/>
      <c r="I296" s="15"/>
      <c r="J296" s="7"/>
      <c r="K296" s="19"/>
      <c r="L296" s="19"/>
      <c r="M296" s="24"/>
      <c r="N296" s="24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13"/>
      <c r="I297" s="15"/>
      <c r="J297" s="7"/>
      <c r="K297" s="19"/>
      <c r="L297" s="19"/>
      <c r="M297" s="24"/>
      <c r="N297" s="24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13"/>
      <c r="I298" s="15"/>
      <c r="J298" s="7"/>
      <c r="K298" s="19"/>
      <c r="L298" s="19"/>
      <c r="M298" s="24"/>
      <c r="N298" s="24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13"/>
      <c r="I299" s="15"/>
      <c r="J299" s="7"/>
      <c r="K299" s="19"/>
      <c r="L299" s="19"/>
      <c r="M299" s="24"/>
      <c r="N299" s="24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13"/>
      <c r="I300" s="15"/>
      <c r="J300" s="7"/>
      <c r="K300" s="19"/>
      <c r="L300" s="19"/>
      <c r="M300" s="24"/>
      <c r="N300" s="24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13"/>
      <c r="I301" s="15"/>
      <c r="J301" s="7"/>
      <c r="K301" s="19"/>
      <c r="L301" s="19"/>
      <c r="M301" s="24"/>
      <c r="N301" s="24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13"/>
      <c r="I302" s="15"/>
      <c r="J302" s="7"/>
      <c r="K302" s="19"/>
      <c r="L302" s="19"/>
      <c r="M302" s="24"/>
      <c r="N302" s="24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13"/>
      <c r="I303" s="15"/>
      <c r="J303" s="7"/>
      <c r="K303" s="19"/>
      <c r="L303" s="19"/>
      <c r="M303" s="24"/>
      <c r="N303" s="24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13"/>
      <c r="I304" s="15"/>
      <c r="J304" s="7"/>
      <c r="K304" s="19"/>
      <c r="L304" s="19"/>
      <c r="M304" s="24"/>
      <c r="N304" s="24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13"/>
      <c r="I305" s="15"/>
      <c r="J305" s="7"/>
      <c r="K305" s="19"/>
      <c r="L305" s="19"/>
      <c r="M305" s="24"/>
      <c r="N305" s="24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13"/>
      <c r="I306" s="15"/>
      <c r="J306" s="7"/>
      <c r="K306" s="19"/>
      <c r="L306" s="19"/>
      <c r="M306" s="24"/>
      <c r="N306" s="24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13"/>
      <c r="I307" s="15"/>
      <c r="J307" s="7"/>
      <c r="K307" s="19"/>
      <c r="L307" s="19"/>
      <c r="M307" s="24"/>
      <c r="N307" s="24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13"/>
      <c r="I308" s="15"/>
      <c r="J308" s="7"/>
      <c r="K308" s="19"/>
      <c r="L308" s="19"/>
      <c r="M308" s="24"/>
      <c r="N308" s="24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13"/>
      <c r="I309" s="15"/>
      <c r="J309" s="7"/>
      <c r="K309" s="19"/>
      <c r="L309" s="19"/>
      <c r="M309" s="24"/>
      <c r="N309" s="24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13"/>
      <c r="I310" s="15"/>
      <c r="J310" s="7"/>
      <c r="K310" s="19"/>
      <c r="L310" s="19"/>
      <c r="M310" s="24"/>
      <c r="N310" s="24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13"/>
      <c r="I311" s="15"/>
      <c r="J311" s="7"/>
      <c r="K311" s="19"/>
      <c r="L311" s="19"/>
      <c r="M311" s="24"/>
      <c r="N311" s="24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13"/>
      <c r="I312" s="15"/>
      <c r="J312" s="7"/>
      <c r="K312" s="19"/>
      <c r="L312" s="19"/>
      <c r="M312" s="24"/>
      <c r="N312" s="24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13"/>
      <c r="I313" s="15"/>
      <c r="J313" s="7"/>
      <c r="K313" s="19"/>
      <c r="L313" s="19"/>
      <c r="M313" s="24"/>
      <c r="N313" s="24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13"/>
      <c r="I314" s="15"/>
      <c r="J314" s="7"/>
      <c r="K314" s="19"/>
      <c r="L314" s="19"/>
      <c r="M314" s="24"/>
      <c r="N314" s="24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13"/>
      <c r="I315" s="15"/>
      <c r="J315" s="7"/>
      <c r="K315" s="19"/>
      <c r="L315" s="19"/>
      <c r="M315" s="24"/>
      <c r="N315" s="24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13"/>
      <c r="I316" s="15"/>
      <c r="J316" s="7"/>
      <c r="K316" s="19"/>
      <c r="L316" s="19"/>
      <c r="M316" s="24"/>
      <c r="N316" s="24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13"/>
      <c r="I317" s="15"/>
      <c r="J317" s="7"/>
      <c r="K317" s="19"/>
      <c r="L317" s="19"/>
      <c r="M317" s="24"/>
      <c r="N317" s="24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13"/>
      <c r="I318" s="15"/>
      <c r="J318" s="7"/>
      <c r="K318" s="19"/>
      <c r="L318" s="19"/>
      <c r="M318" s="24"/>
      <c r="N318" s="24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13"/>
      <c r="I319" s="15"/>
      <c r="J319" s="7"/>
      <c r="K319" s="19"/>
      <c r="L319" s="19"/>
      <c r="M319" s="24"/>
      <c r="N319" s="24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13"/>
      <c r="I320" s="15"/>
      <c r="J320" s="7"/>
      <c r="K320" s="19"/>
      <c r="L320" s="19"/>
      <c r="M320" s="24"/>
      <c r="N320" s="24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13"/>
      <c r="I321" s="15"/>
      <c r="J321" s="7"/>
      <c r="K321" s="19"/>
      <c r="L321" s="19"/>
      <c r="M321" s="24"/>
      <c r="N321" s="24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13"/>
      <c r="I322" s="15"/>
      <c r="J322" s="7"/>
      <c r="K322" s="19"/>
      <c r="L322" s="19"/>
      <c r="M322" s="24"/>
      <c r="N322" s="24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13"/>
      <c r="I323" s="15"/>
      <c r="J323" s="7"/>
      <c r="K323" s="19"/>
      <c r="L323" s="19"/>
      <c r="M323" s="24"/>
      <c r="N323" s="24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13"/>
      <c r="I324" s="15"/>
      <c r="J324" s="7"/>
      <c r="K324" s="19"/>
      <c r="L324" s="19"/>
      <c r="M324" s="24"/>
      <c r="N324" s="24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13"/>
      <c r="I325" s="15"/>
      <c r="J325" s="7"/>
      <c r="K325" s="19"/>
      <c r="L325" s="19"/>
      <c r="M325" s="24"/>
      <c r="N325" s="24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13"/>
      <c r="I326" s="15"/>
      <c r="J326" s="7"/>
      <c r="K326" s="19"/>
      <c r="L326" s="19"/>
      <c r="M326" s="24"/>
      <c r="N326" s="24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13"/>
      <c r="I327" s="15"/>
      <c r="J327" s="7"/>
      <c r="K327" s="19"/>
      <c r="L327" s="19"/>
      <c r="M327" s="24"/>
      <c r="N327" s="24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13"/>
      <c r="I328" s="15"/>
      <c r="J328" s="7"/>
      <c r="K328" s="19"/>
      <c r="L328" s="19"/>
      <c r="M328" s="24"/>
      <c r="N328" s="24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13"/>
      <c r="I329" s="15"/>
      <c r="J329" s="7"/>
      <c r="K329" s="19"/>
      <c r="L329" s="19"/>
      <c r="M329" s="24"/>
      <c r="N329" s="24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13"/>
      <c r="I330" s="15"/>
      <c r="J330" s="7"/>
      <c r="K330" s="19"/>
      <c r="L330" s="19"/>
      <c r="M330" s="24"/>
      <c r="N330" s="24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13"/>
      <c r="I331" s="15"/>
      <c r="J331" s="7"/>
      <c r="K331" s="19"/>
      <c r="L331" s="19"/>
      <c r="M331" s="24"/>
      <c r="N331" s="24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13"/>
      <c r="I332" s="15"/>
      <c r="J332" s="7"/>
      <c r="K332" s="19"/>
      <c r="L332" s="19"/>
      <c r="M332" s="24"/>
      <c r="N332" s="24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13"/>
      <c r="I333" s="15"/>
      <c r="J333" s="7"/>
      <c r="K333" s="19"/>
      <c r="L333" s="19"/>
      <c r="M333" s="24"/>
      <c r="N333" s="24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13"/>
      <c r="I334" s="15"/>
      <c r="J334" s="7"/>
      <c r="K334" s="19"/>
      <c r="L334" s="19"/>
      <c r="M334" s="24"/>
      <c r="N334" s="24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13"/>
      <c r="I335" s="15"/>
      <c r="J335" s="7"/>
      <c r="K335" s="19"/>
      <c r="L335" s="19"/>
      <c r="M335" s="24"/>
      <c r="N335" s="24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13"/>
      <c r="I336" s="15"/>
      <c r="J336" s="7"/>
      <c r="K336" s="19"/>
      <c r="L336" s="19"/>
      <c r="M336" s="24"/>
      <c r="N336" s="24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13"/>
      <c r="I337" s="15"/>
      <c r="J337" s="7"/>
      <c r="K337" s="19"/>
      <c r="L337" s="19"/>
      <c r="M337" s="24"/>
      <c r="N337" s="24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13"/>
      <c r="I338" s="15"/>
      <c r="J338" s="7"/>
      <c r="K338" s="19"/>
      <c r="L338" s="19"/>
      <c r="M338" s="24"/>
      <c r="N338" s="24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13"/>
      <c r="I339" s="15"/>
      <c r="J339" s="7"/>
      <c r="K339" s="19"/>
      <c r="L339" s="19"/>
      <c r="M339" s="24"/>
      <c r="N339" s="24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13"/>
      <c r="I340" s="15"/>
      <c r="J340" s="7"/>
      <c r="K340" s="19"/>
      <c r="L340" s="19"/>
      <c r="M340" s="24"/>
      <c r="N340" s="24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13"/>
      <c r="I341" s="15"/>
      <c r="J341" s="7"/>
      <c r="K341" s="19"/>
      <c r="L341" s="19"/>
      <c r="M341" s="24"/>
      <c r="N341" s="24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13"/>
      <c r="I342" s="15"/>
      <c r="J342" s="7"/>
      <c r="K342" s="19"/>
      <c r="L342" s="19"/>
      <c r="M342" s="24"/>
      <c r="N342" s="24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13"/>
      <c r="I343" s="15"/>
      <c r="J343" s="7"/>
      <c r="K343" s="19"/>
      <c r="L343" s="19"/>
      <c r="M343" s="24"/>
      <c r="N343" s="24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13"/>
      <c r="I344" s="15"/>
      <c r="J344" s="7"/>
      <c r="K344" s="19"/>
      <c r="L344" s="19"/>
      <c r="M344" s="24"/>
      <c r="N344" s="24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13"/>
      <c r="I345" s="15"/>
      <c r="J345" s="7"/>
      <c r="K345" s="19"/>
      <c r="L345" s="19"/>
      <c r="M345" s="24"/>
      <c r="N345" s="24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13"/>
      <c r="I346" s="15"/>
      <c r="J346" s="7"/>
      <c r="K346" s="19"/>
      <c r="L346" s="19"/>
      <c r="M346" s="24"/>
      <c r="N346" s="24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13"/>
      <c r="I347" s="15"/>
      <c r="J347" s="7"/>
      <c r="K347" s="19"/>
      <c r="L347" s="19"/>
      <c r="M347" s="24"/>
      <c r="N347" s="24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13"/>
      <c r="I348" s="15"/>
      <c r="J348" s="7"/>
      <c r="K348" s="19"/>
      <c r="L348" s="19"/>
      <c r="M348" s="24"/>
      <c r="N348" s="24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13"/>
      <c r="I349" s="15"/>
      <c r="J349" s="7"/>
      <c r="K349" s="19"/>
      <c r="L349" s="19"/>
      <c r="M349" s="24"/>
      <c r="N349" s="24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13"/>
      <c r="I350" s="15"/>
      <c r="J350" s="7"/>
      <c r="K350" s="19"/>
      <c r="L350" s="19"/>
      <c r="M350" s="24"/>
      <c r="N350" s="24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13"/>
      <c r="I351" s="15"/>
      <c r="J351" s="7"/>
      <c r="K351" s="19"/>
      <c r="L351" s="19"/>
      <c r="M351" s="24"/>
      <c r="N351" s="24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13"/>
      <c r="I352" s="15"/>
      <c r="J352" s="7"/>
      <c r="K352" s="19"/>
      <c r="L352" s="19"/>
      <c r="M352" s="24"/>
      <c r="N352" s="24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13"/>
      <c r="I353" s="15"/>
      <c r="J353" s="7"/>
      <c r="K353" s="19"/>
      <c r="L353" s="19"/>
      <c r="M353" s="24"/>
      <c r="N353" s="24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13"/>
      <c r="I354" s="15"/>
      <c r="J354" s="7"/>
      <c r="K354" s="19"/>
      <c r="L354" s="19"/>
      <c r="M354" s="24"/>
      <c r="N354" s="24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13"/>
      <c r="I355" s="15"/>
      <c r="J355" s="7"/>
      <c r="K355" s="19"/>
      <c r="L355" s="19"/>
      <c r="M355" s="24"/>
      <c r="N355" s="24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13"/>
      <c r="I356" s="15"/>
      <c r="J356" s="7"/>
      <c r="K356" s="19"/>
      <c r="L356" s="19"/>
      <c r="M356" s="24"/>
      <c r="N356" s="24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13"/>
      <c r="I357" s="15"/>
      <c r="J357" s="7"/>
      <c r="K357" s="19"/>
      <c r="L357" s="19"/>
      <c r="M357" s="24"/>
      <c r="N357" s="24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13"/>
      <c r="I358" s="15"/>
      <c r="J358" s="7"/>
      <c r="K358" s="19"/>
      <c r="L358" s="19"/>
      <c r="M358" s="24"/>
      <c r="N358" s="24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13"/>
      <c r="I359" s="15"/>
      <c r="J359" s="7"/>
      <c r="K359" s="19"/>
      <c r="L359" s="19"/>
      <c r="M359" s="24"/>
      <c r="N359" s="24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13"/>
      <c r="I360" s="15"/>
      <c r="J360" s="7"/>
      <c r="K360" s="19"/>
      <c r="L360" s="19"/>
      <c r="M360" s="24"/>
      <c r="N360" s="24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13"/>
      <c r="I361" s="15"/>
      <c r="J361" s="7"/>
      <c r="K361" s="19"/>
      <c r="L361" s="19"/>
      <c r="M361" s="24"/>
      <c r="N361" s="24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13"/>
      <c r="I362" s="15"/>
      <c r="J362" s="7"/>
      <c r="K362" s="19"/>
      <c r="L362" s="19"/>
      <c r="M362" s="24"/>
      <c r="N362" s="24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13"/>
      <c r="I363" s="15"/>
      <c r="J363" s="7"/>
      <c r="K363" s="19"/>
      <c r="L363" s="19"/>
      <c r="M363" s="24"/>
      <c r="N363" s="24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13"/>
      <c r="I364" s="15"/>
      <c r="J364" s="7"/>
      <c r="K364" s="19"/>
      <c r="L364" s="19"/>
      <c r="M364" s="24"/>
      <c r="N364" s="24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13"/>
      <c r="I365" s="15"/>
      <c r="J365" s="7"/>
      <c r="K365" s="19"/>
      <c r="L365" s="19"/>
      <c r="M365" s="24"/>
      <c r="N365" s="24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13"/>
      <c r="I366" s="15"/>
      <c r="J366" s="7"/>
      <c r="K366" s="19"/>
      <c r="L366" s="19"/>
      <c r="M366" s="24"/>
      <c r="N366" s="24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13"/>
      <c r="I367" s="15"/>
      <c r="J367" s="7"/>
      <c r="K367" s="19"/>
      <c r="L367" s="19"/>
      <c r="M367" s="24"/>
      <c r="N367" s="24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13"/>
      <c r="I368" s="15"/>
      <c r="J368" s="7"/>
      <c r="K368" s="19"/>
      <c r="L368" s="19"/>
      <c r="M368" s="24"/>
      <c r="N368" s="24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13"/>
      <c r="I369" s="15"/>
      <c r="J369" s="7"/>
      <c r="K369" s="19"/>
      <c r="L369" s="19"/>
      <c r="M369" s="24"/>
      <c r="N369" s="24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13"/>
      <c r="I370" s="15"/>
      <c r="J370" s="7"/>
      <c r="K370" s="19"/>
      <c r="L370" s="19"/>
      <c r="M370" s="24"/>
      <c r="N370" s="24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13"/>
      <c r="I371" s="15"/>
      <c r="J371" s="7"/>
      <c r="K371" s="19"/>
      <c r="L371" s="19"/>
      <c r="M371" s="24"/>
      <c r="N371" s="24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13"/>
      <c r="I372" s="15"/>
      <c r="J372" s="7"/>
      <c r="K372" s="19"/>
      <c r="L372" s="19"/>
      <c r="M372" s="24"/>
      <c r="N372" s="24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13"/>
      <c r="I373" s="15"/>
      <c r="J373" s="7"/>
      <c r="K373" s="19"/>
      <c r="L373" s="19"/>
      <c r="M373" s="24"/>
      <c r="N373" s="24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13"/>
      <c r="I374" s="15"/>
      <c r="J374" s="7"/>
      <c r="K374" s="19"/>
      <c r="L374" s="19"/>
      <c r="M374" s="24"/>
      <c r="N374" s="24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13"/>
      <c r="I375" s="15"/>
      <c r="J375" s="7"/>
      <c r="K375" s="19"/>
      <c r="L375" s="19"/>
      <c r="M375" s="24"/>
      <c r="N375" s="24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13"/>
      <c r="I376" s="15"/>
      <c r="J376" s="7"/>
      <c r="K376" s="19"/>
      <c r="L376" s="19"/>
      <c r="M376" s="24"/>
      <c r="N376" s="24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13"/>
      <c r="I377" s="15"/>
      <c r="J377" s="7"/>
      <c r="K377" s="19"/>
      <c r="L377" s="19"/>
      <c r="M377" s="24"/>
      <c r="N377" s="24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13"/>
      <c r="I378" s="15"/>
      <c r="J378" s="7"/>
      <c r="K378" s="19"/>
      <c r="L378" s="19"/>
      <c r="M378" s="24"/>
      <c r="N378" s="24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13"/>
      <c r="I379" s="15"/>
      <c r="J379" s="7"/>
      <c r="K379" s="19"/>
      <c r="L379" s="19"/>
      <c r="M379" s="24"/>
      <c r="N379" s="24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13"/>
      <c r="I380" s="15"/>
      <c r="J380" s="7"/>
      <c r="K380" s="19"/>
      <c r="L380" s="19"/>
      <c r="M380" s="24"/>
      <c r="N380" s="24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13"/>
      <c r="I381" s="15"/>
      <c r="J381" s="7"/>
      <c r="K381" s="19"/>
      <c r="L381" s="19"/>
      <c r="M381" s="24"/>
      <c r="N381" s="24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13"/>
      <c r="I382" s="15"/>
      <c r="J382" s="7"/>
      <c r="K382" s="19"/>
      <c r="L382" s="19"/>
      <c r="M382" s="24"/>
      <c r="N382" s="24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13"/>
      <c r="I383" s="15"/>
      <c r="J383" s="7"/>
      <c r="K383" s="19"/>
      <c r="L383" s="19"/>
      <c r="M383" s="24"/>
      <c r="N383" s="24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13"/>
      <c r="I384" s="15"/>
      <c r="J384" s="7"/>
      <c r="K384" s="19"/>
      <c r="L384" s="19"/>
      <c r="M384" s="24"/>
      <c r="N384" s="24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13"/>
      <c r="I385" s="15"/>
      <c r="J385" s="7"/>
      <c r="K385" s="19"/>
      <c r="L385" s="19"/>
      <c r="M385" s="24"/>
      <c r="N385" s="24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13"/>
      <c r="I386" s="15"/>
      <c r="J386" s="7"/>
      <c r="K386" s="19"/>
      <c r="L386" s="19"/>
      <c r="M386" s="24"/>
      <c r="N386" s="24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13"/>
      <c r="I387" s="15"/>
      <c r="J387" s="7"/>
      <c r="K387" s="19"/>
      <c r="L387" s="19"/>
      <c r="M387" s="24"/>
      <c r="N387" s="24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13"/>
      <c r="I388" s="15"/>
      <c r="J388" s="7"/>
      <c r="K388" s="19"/>
      <c r="L388" s="19"/>
      <c r="M388" s="24"/>
      <c r="N388" s="24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13"/>
      <c r="I389" s="15"/>
      <c r="J389" s="7"/>
      <c r="K389" s="19"/>
      <c r="L389" s="19"/>
      <c r="M389" s="24"/>
      <c r="N389" s="24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13"/>
      <c r="I390" s="15"/>
      <c r="J390" s="7"/>
      <c r="K390" s="19"/>
      <c r="L390" s="19"/>
      <c r="M390" s="24"/>
      <c r="N390" s="24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13"/>
      <c r="I391" s="15"/>
      <c r="J391" s="7"/>
      <c r="K391" s="19"/>
      <c r="L391" s="19"/>
      <c r="M391" s="24"/>
      <c r="N391" s="24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13"/>
      <c r="I392" s="15"/>
      <c r="J392" s="7"/>
      <c r="K392" s="19"/>
      <c r="L392" s="19"/>
      <c r="M392" s="24"/>
      <c r="N392" s="24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13"/>
      <c r="I393" s="15"/>
      <c r="J393" s="7"/>
      <c r="K393" s="19"/>
      <c r="L393" s="19"/>
      <c r="M393" s="24"/>
      <c r="N393" s="24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13"/>
      <c r="I394" s="15"/>
      <c r="J394" s="7"/>
      <c r="K394" s="19"/>
      <c r="L394" s="19"/>
      <c r="M394" s="24"/>
      <c r="N394" s="24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13"/>
      <c r="I395" s="15"/>
      <c r="J395" s="7"/>
      <c r="K395" s="19"/>
      <c r="L395" s="19"/>
      <c r="M395" s="24"/>
      <c r="N395" s="24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13"/>
      <c r="I396" s="15"/>
      <c r="J396" s="7"/>
      <c r="K396" s="19"/>
      <c r="L396" s="19"/>
      <c r="M396" s="24"/>
      <c r="N396" s="24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13"/>
      <c r="I397" s="15"/>
      <c r="J397" s="7"/>
      <c r="K397" s="19"/>
      <c r="L397" s="19"/>
      <c r="M397" s="24"/>
      <c r="N397" s="24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13"/>
      <c r="I398" s="15"/>
      <c r="J398" s="7"/>
      <c r="K398" s="19"/>
      <c r="L398" s="19"/>
      <c r="M398" s="24"/>
      <c r="N398" s="24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13"/>
      <c r="I399" s="15"/>
      <c r="J399" s="7"/>
      <c r="K399" s="19"/>
      <c r="L399" s="19"/>
      <c r="M399" s="24"/>
      <c r="N399" s="24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13"/>
      <c r="I400" s="15"/>
      <c r="J400" s="7"/>
      <c r="K400" s="19"/>
      <c r="L400" s="19"/>
      <c r="M400" s="24"/>
      <c r="N400" s="24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13"/>
      <c r="I401" s="15"/>
      <c r="J401" s="7"/>
      <c r="K401" s="19"/>
      <c r="L401" s="19"/>
      <c r="M401" s="24"/>
      <c r="N401" s="24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13"/>
      <c r="I402" s="15"/>
      <c r="J402" s="7"/>
      <c r="K402" s="19"/>
      <c r="L402" s="19"/>
      <c r="M402" s="24"/>
      <c r="N402" s="24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13"/>
      <c r="I403" s="15"/>
      <c r="J403" s="7"/>
      <c r="K403" s="19"/>
      <c r="L403" s="19"/>
      <c r="M403" s="24"/>
      <c r="N403" s="24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13"/>
      <c r="I404" s="15"/>
      <c r="J404" s="7"/>
      <c r="K404" s="19"/>
      <c r="L404" s="19"/>
      <c r="M404" s="24"/>
      <c r="N404" s="24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13"/>
      <c r="I405" s="15"/>
      <c r="J405" s="7"/>
      <c r="K405" s="19"/>
      <c r="L405" s="19"/>
      <c r="M405" s="24"/>
      <c r="N405" s="24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13"/>
      <c r="I406" s="15"/>
      <c r="J406" s="7"/>
      <c r="K406" s="19"/>
      <c r="L406" s="19"/>
      <c r="M406" s="24"/>
      <c r="N406" s="24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13"/>
      <c r="I407" s="15"/>
      <c r="J407" s="7"/>
      <c r="K407" s="19"/>
      <c r="L407" s="19"/>
      <c r="M407" s="24"/>
      <c r="N407" s="24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13"/>
      <c r="I408" s="15"/>
      <c r="J408" s="7"/>
      <c r="K408" s="19"/>
      <c r="L408" s="19"/>
      <c r="M408" s="24"/>
      <c r="N408" s="24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13"/>
      <c r="I409" s="15"/>
      <c r="J409" s="7"/>
      <c r="K409" s="19"/>
      <c r="L409" s="19"/>
      <c r="M409" s="24"/>
      <c r="N409" s="24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13"/>
      <c r="I410" s="15"/>
      <c r="J410" s="7"/>
      <c r="K410" s="19"/>
      <c r="L410" s="19"/>
      <c r="M410" s="24"/>
      <c r="N410" s="24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13"/>
      <c r="I411" s="15"/>
      <c r="J411" s="7"/>
      <c r="K411" s="19"/>
      <c r="L411" s="19"/>
      <c r="M411" s="24"/>
      <c r="N411" s="24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13"/>
      <c r="I412" s="15"/>
      <c r="J412" s="7"/>
      <c r="K412" s="19"/>
      <c r="L412" s="19"/>
      <c r="M412" s="24"/>
      <c r="N412" s="24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13"/>
      <c r="I413" s="15"/>
      <c r="J413" s="7"/>
      <c r="K413" s="19"/>
      <c r="L413" s="19"/>
      <c r="M413" s="24"/>
      <c r="N413" s="24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13"/>
      <c r="I414" s="15"/>
      <c r="J414" s="7"/>
      <c r="K414" s="19"/>
      <c r="L414" s="19"/>
      <c r="M414" s="24"/>
      <c r="N414" s="24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13"/>
      <c r="I415" s="15"/>
      <c r="J415" s="7"/>
      <c r="K415" s="19"/>
      <c r="L415" s="19"/>
      <c r="M415" s="24"/>
      <c r="N415" s="24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13"/>
      <c r="I416" s="15"/>
      <c r="J416" s="7"/>
      <c r="K416" s="19"/>
      <c r="L416" s="19"/>
      <c r="M416" s="24"/>
      <c r="N416" s="24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13"/>
      <c r="I417" s="15"/>
      <c r="J417" s="7"/>
      <c r="K417" s="19"/>
      <c r="L417" s="19"/>
      <c r="M417" s="24"/>
      <c r="N417" s="24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13"/>
      <c r="I418" s="15"/>
      <c r="J418" s="7"/>
      <c r="K418" s="19"/>
      <c r="L418" s="19"/>
      <c r="M418" s="24"/>
      <c r="N418" s="24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13"/>
      <c r="I419" s="15"/>
      <c r="J419" s="7"/>
      <c r="K419" s="19"/>
      <c r="L419" s="19"/>
      <c r="M419" s="24"/>
      <c r="N419" s="24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13"/>
      <c r="I420" s="15"/>
      <c r="J420" s="7"/>
      <c r="K420" s="19"/>
      <c r="L420" s="19"/>
      <c r="M420" s="24"/>
      <c r="N420" s="24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13"/>
      <c r="I421" s="15"/>
      <c r="J421" s="7"/>
      <c r="K421" s="19"/>
      <c r="L421" s="19"/>
      <c r="M421" s="24"/>
      <c r="N421" s="24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13"/>
      <c r="I422" s="15"/>
      <c r="J422" s="7"/>
      <c r="K422" s="19"/>
      <c r="L422" s="19"/>
      <c r="M422" s="24"/>
      <c r="N422" s="24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13"/>
      <c r="I423" s="15"/>
      <c r="J423" s="7"/>
      <c r="K423" s="19"/>
      <c r="L423" s="19"/>
      <c r="M423" s="24"/>
      <c r="N423" s="24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13"/>
      <c r="I424" s="15"/>
      <c r="J424" s="7"/>
      <c r="K424" s="19"/>
      <c r="L424" s="19"/>
      <c r="M424" s="24"/>
      <c r="N424" s="24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13"/>
      <c r="I425" s="15"/>
      <c r="J425" s="7"/>
      <c r="K425" s="19"/>
      <c r="L425" s="19"/>
      <c r="M425" s="24"/>
      <c r="N425" s="24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13"/>
      <c r="I426" s="15"/>
      <c r="J426" s="7"/>
      <c r="K426" s="19"/>
      <c r="L426" s="19"/>
      <c r="M426" s="24"/>
      <c r="N426" s="24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13"/>
      <c r="I427" s="15"/>
      <c r="J427" s="7"/>
      <c r="K427" s="19"/>
      <c r="L427" s="19"/>
      <c r="M427" s="24"/>
      <c r="N427" s="24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13"/>
      <c r="I428" s="15"/>
      <c r="J428" s="7"/>
      <c r="K428" s="19"/>
      <c r="L428" s="19"/>
      <c r="M428" s="24"/>
      <c r="N428" s="24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13"/>
      <c r="I429" s="15"/>
      <c r="J429" s="7"/>
      <c r="K429" s="19"/>
      <c r="L429" s="19"/>
      <c r="M429" s="24"/>
      <c r="N429" s="24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13"/>
      <c r="I430" s="15"/>
      <c r="J430" s="7"/>
      <c r="K430" s="19"/>
      <c r="L430" s="19"/>
      <c r="M430" s="24"/>
      <c r="N430" s="24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13"/>
      <c r="I431" s="15"/>
      <c r="J431" s="7"/>
      <c r="K431" s="19"/>
      <c r="L431" s="19"/>
      <c r="M431" s="24"/>
      <c r="N431" s="24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13"/>
      <c r="I432" s="15"/>
      <c r="J432" s="7"/>
      <c r="K432" s="19"/>
      <c r="L432" s="19"/>
      <c r="M432" s="24"/>
      <c r="N432" s="24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13"/>
      <c r="I433" s="15"/>
      <c r="J433" s="7"/>
      <c r="K433" s="19"/>
      <c r="L433" s="19"/>
      <c r="M433" s="24"/>
      <c r="N433" s="24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13"/>
      <c r="I434" s="15"/>
      <c r="J434" s="7"/>
      <c r="K434" s="19"/>
      <c r="L434" s="19"/>
      <c r="M434" s="24"/>
      <c r="N434" s="24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13"/>
      <c r="I435" s="15"/>
      <c r="J435" s="7"/>
      <c r="K435" s="19"/>
      <c r="L435" s="19"/>
      <c r="M435" s="24"/>
      <c r="N435" s="24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13"/>
      <c r="I436" s="15"/>
      <c r="J436" s="7"/>
      <c r="K436" s="19"/>
      <c r="L436" s="19"/>
      <c r="M436" s="24"/>
      <c r="N436" s="24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13"/>
      <c r="I437" s="15"/>
      <c r="J437" s="7"/>
      <c r="K437" s="19"/>
      <c r="L437" s="19"/>
      <c r="M437" s="24"/>
      <c r="N437" s="24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13"/>
      <c r="I438" s="15"/>
      <c r="J438" s="7"/>
      <c r="K438" s="19"/>
      <c r="L438" s="19"/>
      <c r="M438" s="24"/>
      <c r="N438" s="24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13"/>
      <c r="I439" s="15"/>
      <c r="J439" s="7"/>
      <c r="K439" s="19"/>
      <c r="L439" s="19"/>
      <c r="M439" s="24"/>
      <c r="N439" s="24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13"/>
      <c r="I440" s="15"/>
      <c r="J440" s="7"/>
      <c r="K440" s="19"/>
      <c r="L440" s="19"/>
      <c r="M440" s="24"/>
      <c r="N440" s="24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13"/>
      <c r="I441" s="15"/>
      <c r="J441" s="7"/>
      <c r="K441" s="19"/>
      <c r="L441" s="19"/>
      <c r="M441" s="24"/>
      <c r="N441" s="24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13"/>
      <c r="I442" s="15"/>
      <c r="J442" s="7"/>
      <c r="K442" s="19"/>
      <c r="L442" s="19"/>
      <c r="M442" s="24"/>
      <c r="N442" s="24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13"/>
      <c r="I443" s="15"/>
      <c r="J443" s="7"/>
      <c r="K443" s="19"/>
      <c r="L443" s="19"/>
      <c r="M443" s="24"/>
      <c r="N443" s="24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13"/>
      <c r="I444" s="15"/>
      <c r="J444" s="7"/>
      <c r="K444" s="19"/>
      <c r="L444" s="19"/>
      <c r="M444" s="24"/>
      <c r="N444" s="24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13"/>
      <c r="I445" s="15"/>
      <c r="J445" s="7"/>
      <c r="K445" s="19"/>
      <c r="L445" s="19"/>
      <c r="M445" s="24"/>
      <c r="N445" s="24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13"/>
      <c r="I446" s="15"/>
      <c r="J446" s="7"/>
      <c r="K446" s="19"/>
      <c r="L446" s="19"/>
      <c r="M446" s="24"/>
      <c r="N446" s="24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13"/>
      <c r="I447" s="15"/>
      <c r="J447" s="7"/>
      <c r="K447" s="19"/>
      <c r="L447" s="19"/>
      <c r="M447" s="24"/>
      <c r="N447" s="24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13"/>
      <c r="I448" s="15"/>
      <c r="J448" s="7"/>
      <c r="K448" s="19"/>
      <c r="L448" s="19"/>
      <c r="M448" s="24"/>
      <c r="N448" s="24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13"/>
      <c r="I449" s="15"/>
      <c r="J449" s="7"/>
      <c r="K449" s="19"/>
      <c r="L449" s="19"/>
      <c r="M449" s="24"/>
      <c r="N449" s="24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13"/>
      <c r="I450" s="15"/>
      <c r="J450" s="7"/>
      <c r="K450" s="19"/>
      <c r="L450" s="19"/>
      <c r="M450" s="24"/>
      <c r="N450" s="24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13"/>
      <c r="I451" s="15"/>
      <c r="J451" s="7"/>
      <c r="K451" s="19"/>
      <c r="L451" s="19"/>
      <c r="M451" s="24"/>
      <c r="N451" s="24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13"/>
      <c r="I452" s="15"/>
      <c r="J452" s="7"/>
      <c r="K452" s="19"/>
      <c r="L452" s="19"/>
      <c r="M452" s="24"/>
      <c r="N452" s="24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13"/>
      <c r="I453" s="15"/>
      <c r="J453" s="7"/>
      <c r="K453" s="19"/>
      <c r="L453" s="19"/>
      <c r="M453" s="24"/>
      <c r="N453" s="24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13"/>
      <c r="I454" s="15"/>
      <c r="J454" s="7"/>
      <c r="K454" s="19"/>
      <c r="L454" s="19"/>
      <c r="M454" s="24"/>
      <c r="N454" s="24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13"/>
      <c r="I455" s="15"/>
      <c r="J455" s="7"/>
      <c r="K455" s="19"/>
      <c r="L455" s="19"/>
      <c r="M455" s="24"/>
      <c r="N455" s="24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13"/>
      <c r="I456" s="15"/>
      <c r="J456" s="7"/>
      <c r="K456" s="19"/>
      <c r="L456" s="19"/>
      <c r="M456" s="24"/>
      <c r="N456" s="24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13"/>
      <c r="I457" s="15"/>
      <c r="J457" s="7"/>
      <c r="K457" s="19"/>
      <c r="L457" s="19"/>
      <c r="M457" s="24"/>
      <c r="N457" s="24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13"/>
      <c r="I458" s="15"/>
      <c r="J458" s="7"/>
      <c r="K458" s="19"/>
      <c r="L458" s="19"/>
      <c r="M458" s="24"/>
      <c r="N458" s="24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13"/>
      <c r="I459" s="15"/>
      <c r="J459" s="7"/>
      <c r="K459" s="19"/>
      <c r="L459" s="19"/>
      <c r="M459" s="24"/>
      <c r="N459" s="24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13"/>
      <c r="I460" s="15"/>
      <c r="J460" s="7"/>
      <c r="K460" s="19"/>
      <c r="L460" s="19"/>
      <c r="M460" s="24"/>
      <c r="N460" s="24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13"/>
      <c r="I461" s="15"/>
      <c r="J461" s="7"/>
      <c r="K461" s="19"/>
      <c r="L461" s="19"/>
      <c r="M461" s="24"/>
      <c r="N461" s="24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13"/>
      <c r="I462" s="15"/>
      <c r="J462" s="7"/>
      <c r="K462" s="19"/>
      <c r="L462" s="19"/>
      <c r="M462" s="24"/>
      <c r="N462" s="24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13"/>
      <c r="I463" s="15"/>
      <c r="J463" s="7"/>
      <c r="K463" s="19"/>
      <c r="L463" s="19"/>
      <c r="M463" s="24"/>
      <c r="N463" s="24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13"/>
      <c r="I464" s="15"/>
      <c r="J464" s="7"/>
      <c r="K464" s="19"/>
      <c r="L464" s="19"/>
      <c r="M464" s="24"/>
      <c r="N464" s="24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13"/>
      <c r="I465" s="15"/>
      <c r="J465" s="7"/>
      <c r="K465" s="19"/>
      <c r="L465" s="19"/>
      <c r="M465" s="24"/>
      <c r="N465" s="24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13"/>
      <c r="I466" s="15"/>
      <c r="J466" s="7"/>
      <c r="K466" s="19"/>
      <c r="L466" s="19"/>
      <c r="M466" s="24"/>
      <c r="N466" s="24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13"/>
      <c r="I467" s="15"/>
      <c r="J467" s="7"/>
      <c r="K467" s="19"/>
      <c r="L467" s="19"/>
      <c r="M467" s="24"/>
      <c r="N467" s="24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13"/>
      <c r="I468" s="15"/>
      <c r="J468" s="7"/>
      <c r="K468" s="19"/>
      <c r="L468" s="19"/>
      <c r="M468" s="24"/>
      <c r="N468" s="24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13"/>
      <c r="I469" s="15"/>
      <c r="J469" s="7"/>
      <c r="K469" s="19"/>
      <c r="L469" s="19"/>
      <c r="M469" s="24"/>
      <c r="N469" s="24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13"/>
      <c r="I470" s="15"/>
      <c r="J470" s="7"/>
      <c r="K470" s="19"/>
      <c r="L470" s="19"/>
      <c r="M470" s="24"/>
      <c r="N470" s="24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13"/>
      <c r="I471" s="15"/>
      <c r="J471" s="7"/>
      <c r="K471" s="19"/>
      <c r="L471" s="19"/>
      <c r="M471" s="24"/>
      <c r="N471" s="24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13"/>
      <c r="I472" s="15"/>
      <c r="J472" s="7"/>
      <c r="K472" s="19"/>
      <c r="L472" s="19"/>
      <c r="M472" s="24"/>
      <c r="N472" s="24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13"/>
      <c r="I473" s="15"/>
      <c r="J473" s="7"/>
      <c r="K473" s="19"/>
      <c r="L473" s="19"/>
      <c r="M473" s="24"/>
      <c r="N473" s="24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13"/>
      <c r="I474" s="15"/>
      <c r="J474" s="7"/>
      <c r="K474" s="19"/>
      <c r="L474" s="19"/>
      <c r="M474" s="24"/>
      <c r="N474" s="24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13"/>
      <c r="I475" s="15"/>
      <c r="J475" s="7"/>
      <c r="K475" s="19"/>
      <c r="L475" s="19"/>
      <c r="M475" s="24"/>
      <c r="N475" s="24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13"/>
      <c r="I476" s="15"/>
      <c r="J476" s="7"/>
      <c r="K476" s="19"/>
      <c r="L476" s="19"/>
      <c r="M476" s="24"/>
      <c r="N476" s="24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13"/>
      <c r="I477" s="15"/>
      <c r="J477" s="7"/>
      <c r="K477" s="19"/>
      <c r="L477" s="19"/>
      <c r="M477" s="24"/>
      <c r="N477" s="24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13"/>
      <c r="I478" s="15"/>
      <c r="J478" s="7"/>
      <c r="K478" s="19"/>
      <c r="L478" s="19"/>
      <c r="M478" s="24"/>
      <c r="N478" s="24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13"/>
      <c r="I479" s="15"/>
      <c r="J479" s="7"/>
      <c r="K479" s="19"/>
      <c r="L479" s="19"/>
      <c r="M479" s="24"/>
      <c r="N479" s="24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13"/>
      <c r="I480" s="15"/>
      <c r="J480" s="7"/>
      <c r="K480" s="19"/>
      <c r="L480" s="19"/>
      <c r="M480" s="24"/>
      <c r="N480" s="24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13"/>
      <c r="I481" s="15"/>
      <c r="J481" s="7"/>
      <c r="K481" s="19"/>
      <c r="L481" s="19"/>
      <c r="M481" s="24"/>
      <c r="N481" s="24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13"/>
      <c r="I482" s="15"/>
      <c r="J482" s="7"/>
      <c r="K482" s="19"/>
      <c r="L482" s="19"/>
      <c r="M482" s="24"/>
      <c r="N482" s="24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13"/>
      <c r="I483" s="15"/>
      <c r="J483" s="7"/>
      <c r="K483" s="19"/>
      <c r="L483" s="19"/>
      <c r="M483" s="24"/>
      <c r="N483" s="24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13"/>
      <c r="I484" s="15"/>
      <c r="J484" s="7"/>
      <c r="K484" s="19"/>
      <c r="L484" s="19"/>
      <c r="M484" s="24"/>
      <c r="N484" s="24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13"/>
      <c r="I485" s="15"/>
      <c r="J485" s="7"/>
      <c r="K485" s="19"/>
      <c r="L485" s="19"/>
      <c r="M485" s="24"/>
      <c r="N485" s="24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13"/>
      <c r="I486" s="15"/>
      <c r="J486" s="7"/>
      <c r="K486" s="19"/>
      <c r="L486" s="19"/>
      <c r="M486" s="24"/>
      <c r="N486" s="24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13"/>
      <c r="I487" s="15"/>
      <c r="J487" s="7"/>
      <c r="K487" s="19"/>
      <c r="L487" s="19"/>
      <c r="M487" s="24"/>
      <c r="N487" s="24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13"/>
      <c r="I488" s="15"/>
      <c r="J488" s="7"/>
      <c r="K488" s="19"/>
      <c r="L488" s="19"/>
      <c r="M488" s="24"/>
      <c r="N488" s="24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13"/>
      <c r="I489" s="15"/>
      <c r="J489" s="7"/>
      <c r="K489" s="19"/>
      <c r="L489" s="19"/>
      <c r="M489" s="24"/>
      <c r="N489" s="24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13"/>
      <c r="I490" s="15"/>
      <c r="J490" s="7"/>
      <c r="K490" s="19"/>
      <c r="L490" s="19"/>
      <c r="M490" s="24"/>
      <c r="N490" s="24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13"/>
      <c r="I491" s="15"/>
      <c r="J491" s="7"/>
      <c r="K491" s="19"/>
      <c r="L491" s="19"/>
      <c r="M491" s="24"/>
      <c r="N491" s="24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13"/>
      <c r="I492" s="15"/>
      <c r="J492" s="7"/>
      <c r="K492" s="19"/>
      <c r="L492" s="19"/>
      <c r="M492" s="24"/>
      <c r="N492" s="24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13"/>
      <c r="I493" s="15"/>
      <c r="J493" s="7"/>
      <c r="K493" s="19"/>
      <c r="L493" s="19"/>
      <c r="M493" s="24"/>
      <c r="N493" s="24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13"/>
      <c r="I494" s="15"/>
      <c r="J494" s="7"/>
      <c r="K494" s="19"/>
      <c r="L494" s="19"/>
      <c r="M494" s="24"/>
      <c r="N494" s="24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13"/>
      <c r="I495" s="15"/>
      <c r="J495" s="7"/>
      <c r="K495" s="19"/>
      <c r="L495" s="19"/>
      <c r="M495" s="24"/>
      <c r="N495" s="24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13"/>
      <c r="I496" s="15"/>
      <c r="J496" s="7"/>
      <c r="K496" s="19"/>
      <c r="L496" s="19"/>
      <c r="M496" s="24"/>
      <c r="N496" s="24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13"/>
      <c r="I497" s="15"/>
      <c r="J497" s="7"/>
      <c r="K497" s="19"/>
      <c r="L497" s="19"/>
      <c r="M497" s="24"/>
      <c r="N497" s="24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13"/>
      <c r="I498" s="15"/>
      <c r="J498" s="7"/>
      <c r="K498" s="19"/>
      <c r="L498" s="19"/>
      <c r="M498" s="24"/>
      <c r="N498" s="24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13"/>
      <c r="I499" s="15"/>
      <c r="J499" s="7"/>
      <c r="K499" s="19"/>
      <c r="L499" s="19"/>
      <c r="M499" s="24"/>
      <c r="N499" s="24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13"/>
      <c r="I500" s="15"/>
      <c r="J500" s="7"/>
      <c r="K500" s="19"/>
      <c r="L500" s="19"/>
      <c r="M500" s="24"/>
      <c r="N500" s="24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13"/>
      <c r="I501" s="15"/>
      <c r="J501" s="7"/>
      <c r="K501" s="19"/>
      <c r="L501" s="19"/>
      <c r="M501" s="24"/>
      <c r="N501" s="24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13"/>
      <c r="I502" s="15"/>
      <c r="J502" s="7"/>
      <c r="K502" s="19"/>
      <c r="L502" s="19"/>
      <c r="M502" s="24"/>
      <c r="N502" s="24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13"/>
      <c r="I503" s="15"/>
      <c r="J503" s="7"/>
      <c r="K503" s="19"/>
      <c r="L503" s="19"/>
      <c r="M503" s="24"/>
      <c r="N503" s="24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13"/>
      <c r="I504" s="15"/>
      <c r="J504" s="7"/>
      <c r="K504" s="19"/>
      <c r="L504" s="19"/>
      <c r="M504" s="24"/>
      <c r="N504" s="24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13"/>
      <c r="I505" s="15"/>
      <c r="J505" s="7"/>
      <c r="K505" s="19"/>
      <c r="L505" s="19"/>
      <c r="M505" s="24"/>
      <c r="N505" s="24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13"/>
      <c r="I506" s="15"/>
      <c r="J506" s="7"/>
      <c r="K506" s="19"/>
      <c r="L506" s="19"/>
      <c r="M506" s="24"/>
      <c r="N506" s="24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13"/>
      <c r="I507" s="15"/>
      <c r="J507" s="7"/>
      <c r="K507" s="19"/>
      <c r="L507" s="19"/>
      <c r="M507" s="24"/>
      <c r="N507" s="24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13"/>
      <c r="I508" s="15"/>
      <c r="J508" s="7"/>
      <c r="K508" s="19"/>
      <c r="L508" s="19"/>
      <c r="M508" s="24"/>
      <c r="N508" s="24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13"/>
      <c r="I509" s="15"/>
      <c r="J509" s="7"/>
      <c r="K509" s="19"/>
      <c r="L509" s="19"/>
      <c r="M509" s="24"/>
      <c r="N509" s="24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13"/>
      <c r="I510" s="15"/>
      <c r="J510" s="7"/>
      <c r="K510" s="19"/>
      <c r="L510" s="19"/>
      <c r="M510" s="24"/>
      <c r="N510" s="24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13"/>
      <c r="I511" s="15"/>
      <c r="J511" s="7"/>
      <c r="K511" s="19"/>
      <c r="L511" s="19"/>
      <c r="M511" s="24"/>
      <c r="N511" s="24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13"/>
      <c r="I512" s="15"/>
      <c r="J512" s="7"/>
      <c r="K512" s="19"/>
      <c r="L512" s="19"/>
      <c r="M512" s="24"/>
      <c r="N512" s="24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13"/>
      <c r="I513" s="15"/>
      <c r="J513" s="7"/>
      <c r="K513" s="19"/>
      <c r="L513" s="19"/>
      <c r="M513" s="24"/>
      <c r="N513" s="24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13"/>
      <c r="I514" s="15"/>
      <c r="J514" s="7"/>
      <c r="K514" s="19"/>
      <c r="L514" s="19"/>
      <c r="M514" s="24"/>
      <c r="N514" s="24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13"/>
      <c r="I515" s="15"/>
      <c r="J515" s="7"/>
      <c r="K515" s="19"/>
      <c r="L515" s="19"/>
      <c r="M515" s="24"/>
      <c r="N515" s="24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13"/>
      <c r="I516" s="15"/>
      <c r="J516" s="7"/>
      <c r="K516" s="19"/>
      <c r="L516" s="19"/>
      <c r="M516" s="24"/>
      <c r="N516" s="24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13"/>
      <c r="I517" s="15"/>
      <c r="J517" s="7"/>
      <c r="K517" s="19"/>
      <c r="L517" s="19"/>
      <c r="M517" s="24"/>
      <c r="N517" s="24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13"/>
      <c r="I518" s="15"/>
      <c r="J518" s="7"/>
      <c r="K518" s="19"/>
      <c r="L518" s="19"/>
      <c r="M518" s="24"/>
      <c r="N518" s="24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13"/>
      <c r="I519" s="15"/>
      <c r="J519" s="7"/>
      <c r="K519" s="19"/>
      <c r="L519" s="19"/>
      <c r="M519" s="24"/>
      <c r="N519" s="24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13"/>
      <c r="I520" s="15"/>
      <c r="J520" s="7"/>
      <c r="K520" s="19"/>
      <c r="L520" s="19"/>
      <c r="M520" s="24"/>
      <c r="N520" s="24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13"/>
      <c r="I521" s="15"/>
      <c r="J521" s="7"/>
      <c r="K521" s="19"/>
      <c r="L521" s="19"/>
      <c r="M521" s="24"/>
      <c r="N521" s="24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13"/>
      <c r="I522" s="15"/>
      <c r="J522" s="7"/>
      <c r="K522" s="19"/>
      <c r="L522" s="19"/>
      <c r="M522" s="24"/>
      <c r="N522" s="24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13"/>
      <c r="I523" s="15"/>
      <c r="J523" s="7"/>
      <c r="K523" s="19"/>
      <c r="L523" s="19"/>
      <c r="M523" s="24"/>
      <c r="N523" s="24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13"/>
      <c r="I524" s="15"/>
      <c r="J524" s="7"/>
      <c r="K524" s="19"/>
      <c r="L524" s="19"/>
      <c r="M524" s="24"/>
      <c r="N524" s="24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13"/>
      <c r="I525" s="15"/>
      <c r="J525" s="7"/>
      <c r="K525" s="19"/>
      <c r="L525" s="19"/>
      <c r="M525" s="24"/>
      <c r="N525" s="24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13"/>
      <c r="I526" s="15"/>
      <c r="J526" s="7"/>
      <c r="K526" s="19"/>
      <c r="L526" s="19"/>
      <c r="M526" s="24"/>
      <c r="N526" s="24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13"/>
      <c r="I527" s="15"/>
      <c r="J527" s="7"/>
      <c r="K527" s="19"/>
      <c r="L527" s="19"/>
      <c r="M527" s="24"/>
      <c r="N527" s="24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13"/>
      <c r="I528" s="15"/>
      <c r="J528" s="7"/>
      <c r="K528" s="19"/>
      <c r="L528" s="19"/>
      <c r="M528" s="24"/>
      <c r="N528" s="24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13"/>
      <c r="I529" s="15"/>
      <c r="J529" s="7"/>
      <c r="K529" s="19"/>
      <c r="L529" s="19"/>
      <c r="M529" s="24"/>
      <c r="N529" s="24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13"/>
      <c r="I530" s="15"/>
      <c r="J530" s="7"/>
      <c r="K530" s="19"/>
      <c r="L530" s="19"/>
      <c r="M530" s="24"/>
      <c r="N530" s="24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13"/>
      <c r="I531" s="15"/>
      <c r="J531" s="7"/>
      <c r="K531" s="19"/>
      <c r="L531" s="19"/>
      <c r="M531" s="24"/>
      <c r="N531" s="24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13"/>
      <c r="I532" s="15"/>
      <c r="J532" s="7"/>
      <c r="K532" s="19"/>
      <c r="L532" s="19"/>
      <c r="M532" s="24"/>
      <c r="N532" s="24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13"/>
      <c r="I533" s="15"/>
      <c r="J533" s="7"/>
      <c r="K533" s="19"/>
      <c r="L533" s="19"/>
      <c r="M533" s="24"/>
      <c r="N533" s="24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13"/>
      <c r="I534" s="15"/>
      <c r="J534" s="7"/>
      <c r="K534" s="19"/>
      <c r="L534" s="19"/>
      <c r="M534" s="24"/>
      <c r="N534" s="24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13"/>
      <c r="I535" s="15"/>
      <c r="J535" s="7"/>
      <c r="K535" s="19"/>
      <c r="L535" s="19"/>
      <c r="M535" s="24"/>
      <c r="N535" s="24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13"/>
      <c r="I536" s="15"/>
      <c r="J536" s="7"/>
      <c r="K536" s="19"/>
      <c r="L536" s="19"/>
      <c r="M536" s="24"/>
      <c r="N536" s="24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13"/>
      <c r="I537" s="15"/>
      <c r="J537" s="7"/>
      <c r="K537" s="19"/>
      <c r="L537" s="19"/>
      <c r="M537" s="24"/>
      <c r="N537" s="24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13"/>
      <c r="I538" s="15"/>
      <c r="J538" s="7"/>
      <c r="K538" s="19"/>
      <c r="L538" s="19"/>
      <c r="M538" s="24"/>
      <c r="N538" s="24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13"/>
      <c r="I539" s="15"/>
      <c r="J539" s="7"/>
      <c r="K539" s="19"/>
      <c r="L539" s="19"/>
      <c r="M539" s="24"/>
      <c r="N539" s="24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13"/>
      <c r="I540" s="15"/>
      <c r="J540" s="7"/>
      <c r="K540" s="19"/>
      <c r="L540" s="19"/>
      <c r="M540" s="24"/>
      <c r="N540" s="24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13"/>
      <c r="I541" s="15"/>
      <c r="J541" s="7"/>
      <c r="K541" s="19"/>
      <c r="L541" s="19"/>
      <c r="M541" s="24"/>
      <c r="N541" s="24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13"/>
      <c r="I542" s="15"/>
      <c r="J542" s="7"/>
      <c r="K542" s="19"/>
      <c r="L542" s="19"/>
      <c r="M542" s="24"/>
      <c r="N542" s="24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13"/>
      <c r="I543" s="15"/>
      <c r="J543" s="7"/>
      <c r="K543" s="19"/>
      <c r="L543" s="19"/>
      <c r="M543" s="24"/>
      <c r="N543" s="24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13"/>
      <c r="I544" s="15"/>
      <c r="J544" s="7"/>
      <c r="K544" s="19"/>
      <c r="L544" s="19"/>
      <c r="M544" s="24"/>
      <c r="N544" s="24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13"/>
      <c r="I545" s="15"/>
      <c r="J545" s="7"/>
      <c r="K545" s="19"/>
      <c r="L545" s="19"/>
      <c r="M545" s="24"/>
      <c r="N545" s="24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13"/>
      <c r="I546" s="15"/>
      <c r="J546" s="7"/>
      <c r="K546" s="19"/>
      <c r="L546" s="19"/>
      <c r="M546" s="24"/>
      <c r="N546" s="24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13"/>
      <c r="I547" s="15"/>
      <c r="J547" s="7"/>
      <c r="K547" s="19"/>
      <c r="L547" s="19"/>
      <c r="M547" s="24"/>
      <c r="N547" s="24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13"/>
      <c r="I548" s="15"/>
      <c r="J548" s="7"/>
      <c r="K548" s="19"/>
      <c r="L548" s="19"/>
      <c r="M548" s="24"/>
      <c r="N548" s="24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13"/>
      <c r="I549" s="15"/>
      <c r="J549" s="7"/>
      <c r="K549" s="19"/>
      <c r="L549" s="19"/>
      <c r="M549" s="24"/>
      <c r="N549" s="24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13"/>
      <c r="I550" s="15"/>
      <c r="J550" s="7"/>
      <c r="K550" s="19"/>
      <c r="L550" s="19"/>
      <c r="M550" s="24"/>
      <c r="N550" s="24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13"/>
      <c r="I551" s="15"/>
      <c r="J551" s="7"/>
      <c r="K551" s="19"/>
      <c r="L551" s="19"/>
      <c r="M551" s="24"/>
      <c r="N551" s="24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13"/>
      <c r="I552" s="15"/>
      <c r="J552" s="7"/>
      <c r="K552" s="19"/>
      <c r="L552" s="19"/>
      <c r="M552" s="24"/>
      <c r="N552" s="24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13"/>
      <c r="I553" s="15"/>
      <c r="J553" s="7"/>
      <c r="K553" s="19"/>
      <c r="L553" s="19"/>
      <c r="M553" s="24"/>
      <c r="N553" s="24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13"/>
      <c r="I554" s="15"/>
      <c r="J554" s="7"/>
      <c r="K554" s="19"/>
      <c r="L554" s="19"/>
      <c r="M554" s="24"/>
      <c r="N554" s="24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13"/>
      <c r="I555" s="15"/>
      <c r="J555" s="7"/>
      <c r="K555" s="19"/>
      <c r="L555" s="19"/>
      <c r="M555" s="24"/>
      <c r="N555" s="24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13"/>
      <c r="I556" s="15"/>
      <c r="J556" s="7"/>
      <c r="K556" s="19"/>
      <c r="L556" s="19"/>
      <c r="M556" s="24"/>
      <c r="N556" s="24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13"/>
      <c r="I557" s="15"/>
      <c r="J557" s="7"/>
      <c r="K557" s="19"/>
      <c r="L557" s="19"/>
      <c r="M557" s="24"/>
      <c r="N557" s="24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13"/>
      <c r="I558" s="15"/>
      <c r="J558" s="7"/>
      <c r="K558" s="19"/>
      <c r="L558" s="19"/>
      <c r="M558" s="24"/>
      <c r="N558" s="24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13"/>
      <c r="I559" s="15"/>
      <c r="J559" s="7"/>
      <c r="K559" s="19"/>
      <c r="L559" s="19"/>
      <c r="M559" s="24"/>
      <c r="N559" s="24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13"/>
      <c r="I560" s="15"/>
      <c r="J560" s="7"/>
      <c r="K560" s="19"/>
      <c r="L560" s="19"/>
      <c r="M560" s="24"/>
      <c r="N560" s="24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13"/>
      <c r="I561" s="15"/>
      <c r="J561" s="7"/>
      <c r="K561" s="19"/>
      <c r="L561" s="19"/>
      <c r="M561" s="24"/>
      <c r="N561" s="24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13"/>
      <c r="I562" s="15"/>
      <c r="J562" s="7"/>
      <c r="K562" s="19"/>
      <c r="L562" s="19"/>
      <c r="M562" s="24"/>
      <c r="N562" s="24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13"/>
      <c r="I563" s="15"/>
      <c r="J563" s="7"/>
      <c r="K563" s="19"/>
      <c r="L563" s="19"/>
      <c r="M563" s="24"/>
      <c r="N563" s="24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13"/>
      <c r="I564" s="15"/>
      <c r="J564" s="7"/>
      <c r="K564" s="19"/>
      <c r="L564" s="19"/>
      <c r="M564" s="24"/>
      <c r="N564" s="24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13"/>
      <c r="I565" s="15"/>
      <c r="J565" s="7"/>
      <c r="K565" s="19"/>
      <c r="L565" s="19"/>
      <c r="M565" s="24"/>
      <c r="N565" s="24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13"/>
      <c r="I566" s="15"/>
      <c r="J566" s="7"/>
      <c r="K566" s="19"/>
      <c r="L566" s="19"/>
      <c r="M566" s="24"/>
      <c r="N566" s="24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13"/>
      <c r="I567" s="15"/>
      <c r="J567" s="7"/>
      <c r="K567" s="19"/>
      <c r="L567" s="19"/>
      <c r="M567" s="24"/>
      <c r="N567" s="24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13"/>
      <c r="I568" s="15"/>
      <c r="J568" s="7"/>
      <c r="K568" s="19"/>
      <c r="L568" s="19"/>
      <c r="M568" s="24"/>
      <c r="N568" s="24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13"/>
      <c r="I569" s="15"/>
      <c r="J569" s="7"/>
      <c r="K569" s="19"/>
      <c r="L569" s="19"/>
      <c r="M569" s="24"/>
      <c r="N569" s="24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13"/>
      <c r="I570" s="15"/>
      <c r="J570" s="7"/>
      <c r="K570" s="19"/>
      <c r="L570" s="19"/>
      <c r="M570" s="24"/>
      <c r="N570" s="24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13"/>
      <c r="I571" s="15"/>
      <c r="J571" s="7"/>
      <c r="K571" s="19"/>
      <c r="L571" s="19"/>
      <c r="M571" s="24"/>
      <c r="N571" s="24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13"/>
      <c r="I572" s="15"/>
      <c r="J572" s="7"/>
      <c r="K572" s="19"/>
      <c r="L572" s="19"/>
      <c r="M572" s="24"/>
      <c r="N572" s="24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13"/>
      <c r="I573" s="15"/>
      <c r="J573" s="7"/>
      <c r="K573" s="19"/>
      <c r="L573" s="19"/>
      <c r="M573" s="24"/>
      <c r="N573" s="24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13"/>
      <c r="I574" s="15"/>
      <c r="J574" s="7"/>
      <c r="K574" s="19"/>
      <c r="L574" s="19"/>
      <c r="M574" s="24"/>
      <c r="N574" s="24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13"/>
      <c r="I575" s="15"/>
      <c r="J575" s="7"/>
      <c r="K575" s="19"/>
      <c r="L575" s="19"/>
      <c r="M575" s="24"/>
      <c r="N575" s="24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13"/>
      <c r="I576" s="15"/>
      <c r="J576" s="7"/>
      <c r="K576" s="19"/>
      <c r="L576" s="19"/>
      <c r="M576" s="24"/>
      <c r="N576" s="24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13"/>
      <c r="I577" s="15"/>
      <c r="J577" s="7"/>
      <c r="K577" s="19"/>
      <c r="L577" s="19"/>
      <c r="M577" s="24"/>
      <c r="N577" s="24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13"/>
      <c r="I578" s="15"/>
      <c r="J578" s="7"/>
      <c r="K578" s="19"/>
      <c r="L578" s="19"/>
      <c r="M578" s="24"/>
      <c r="N578" s="24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13"/>
      <c r="I579" s="15"/>
      <c r="J579" s="7"/>
      <c r="K579" s="19"/>
      <c r="L579" s="19"/>
      <c r="M579" s="24"/>
      <c r="N579" s="24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13"/>
      <c r="I580" s="15"/>
      <c r="J580" s="7"/>
      <c r="K580" s="19"/>
      <c r="L580" s="19"/>
      <c r="M580" s="24"/>
      <c r="N580" s="24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13"/>
      <c r="I581" s="15"/>
      <c r="J581" s="7"/>
      <c r="K581" s="19"/>
      <c r="L581" s="19"/>
      <c r="M581" s="24"/>
      <c r="N581" s="24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13"/>
      <c r="I582" s="15"/>
      <c r="J582" s="7"/>
      <c r="K582" s="19"/>
      <c r="L582" s="19"/>
      <c r="M582" s="24"/>
      <c r="N582" s="24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13"/>
      <c r="I583" s="15"/>
      <c r="J583" s="7"/>
      <c r="K583" s="19"/>
      <c r="L583" s="19"/>
      <c r="M583" s="24"/>
      <c r="N583" s="24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13"/>
      <c r="I584" s="15"/>
      <c r="J584" s="7"/>
      <c r="K584" s="19"/>
      <c r="L584" s="19"/>
      <c r="M584" s="24"/>
      <c r="N584" s="24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13"/>
      <c r="I585" s="15"/>
      <c r="J585" s="7"/>
      <c r="K585" s="19"/>
      <c r="L585" s="19"/>
      <c r="M585" s="24"/>
      <c r="N585" s="24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13"/>
      <c r="I586" s="15"/>
      <c r="J586" s="7"/>
      <c r="K586" s="19"/>
      <c r="L586" s="19"/>
      <c r="M586" s="24"/>
      <c r="N586" s="24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13"/>
      <c r="I587" s="15"/>
      <c r="J587" s="7"/>
      <c r="K587" s="19"/>
      <c r="L587" s="19"/>
      <c r="M587" s="24"/>
      <c r="N587" s="24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13"/>
      <c r="I588" s="15"/>
      <c r="J588" s="7"/>
      <c r="K588" s="19"/>
      <c r="L588" s="19"/>
      <c r="M588" s="24"/>
      <c r="N588" s="24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13"/>
      <c r="I589" s="15"/>
      <c r="J589" s="7"/>
      <c r="K589" s="19"/>
      <c r="L589" s="19"/>
      <c r="M589" s="24"/>
      <c r="N589" s="24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13"/>
      <c r="I590" s="15"/>
      <c r="J590" s="7"/>
      <c r="K590" s="19"/>
      <c r="L590" s="19"/>
      <c r="M590" s="24"/>
      <c r="N590" s="24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13"/>
      <c r="I591" s="15"/>
      <c r="J591" s="7"/>
      <c r="K591" s="19"/>
      <c r="L591" s="19"/>
      <c r="M591" s="24"/>
      <c r="N591" s="24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13"/>
      <c r="I592" s="15"/>
      <c r="J592" s="7"/>
      <c r="K592" s="19"/>
      <c r="L592" s="19"/>
      <c r="M592" s="24"/>
      <c r="N592" s="24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13"/>
      <c r="I593" s="15"/>
      <c r="J593" s="7"/>
      <c r="K593" s="19"/>
      <c r="L593" s="19"/>
      <c r="M593" s="24"/>
      <c r="N593" s="24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13"/>
      <c r="I594" s="15"/>
      <c r="J594" s="7"/>
      <c r="K594" s="19"/>
      <c r="L594" s="19"/>
      <c r="M594" s="24"/>
      <c r="N594" s="24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13"/>
      <c r="I595" s="15"/>
      <c r="J595" s="7"/>
      <c r="K595" s="19"/>
      <c r="L595" s="19"/>
      <c r="M595" s="24"/>
      <c r="N595" s="24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13"/>
      <c r="I596" s="15"/>
      <c r="J596" s="7"/>
      <c r="K596" s="19"/>
      <c r="L596" s="19"/>
      <c r="M596" s="24"/>
      <c r="N596" s="24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13"/>
      <c r="I597" s="15"/>
      <c r="J597" s="7"/>
      <c r="K597" s="19"/>
      <c r="L597" s="19"/>
      <c r="M597" s="24"/>
      <c r="N597" s="24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13"/>
      <c r="I598" s="15"/>
      <c r="J598" s="7"/>
      <c r="K598" s="19"/>
      <c r="L598" s="19"/>
      <c r="M598" s="24"/>
      <c r="N598" s="24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13"/>
      <c r="I599" s="15"/>
      <c r="J599" s="7"/>
      <c r="K599" s="19"/>
      <c r="L599" s="19"/>
      <c r="M599" s="24"/>
      <c r="N599" s="24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13"/>
      <c r="I600" s="15"/>
      <c r="J600" s="7"/>
      <c r="K600" s="19"/>
      <c r="L600" s="19"/>
      <c r="M600" s="24"/>
      <c r="N600" s="24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13"/>
      <c r="I601" s="15"/>
      <c r="J601" s="7"/>
      <c r="K601" s="19"/>
      <c r="L601" s="19"/>
      <c r="M601" s="24"/>
      <c r="N601" s="24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13"/>
      <c r="I602" s="15"/>
      <c r="J602" s="7"/>
      <c r="K602" s="19"/>
      <c r="L602" s="19"/>
      <c r="M602" s="24"/>
      <c r="N602" s="24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13"/>
      <c r="I603" s="15"/>
      <c r="J603" s="7"/>
      <c r="K603" s="19"/>
      <c r="L603" s="19"/>
      <c r="M603" s="24"/>
      <c r="N603" s="24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13"/>
      <c r="I604" s="15"/>
      <c r="J604" s="7"/>
      <c r="K604" s="19"/>
      <c r="L604" s="19"/>
      <c r="M604" s="24"/>
      <c r="N604" s="24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13"/>
      <c r="I605" s="15"/>
      <c r="J605" s="7"/>
      <c r="K605" s="19"/>
      <c r="L605" s="19"/>
      <c r="M605" s="24"/>
      <c r="N605" s="24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13"/>
      <c r="I606" s="15"/>
      <c r="J606" s="7"/>
      <c r="K606" s="19"/>
      <c r="L606" s="19"/>
      <c r="M606" s="24"/>
      <c r="N606" s="24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13"/>
      <c r="I607" s="15"/>
      <c r="J607" s="7"/>
      <c r="K607" s="19"/>
      <c r="L607" s="19"/>
      <c r="M607" s="24"/>
      <c r="N607" s="24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13"/>
      <c r="I608" s="15"/>
      <c r="J608" s="7"/>
      <c r="K608" s="19"/>
      <c r="L608" s="19"/>
      <c r="M608" s="24"/>
      <c r="N608" s="24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13"/>
      <c r="I609" s="15"/>
      <c r="J609" s="7"/>
      <c r="K609" s="19"/>
      <c r="L609" s="19"/>
      <c r="M609" s="24"/>
      <c r="N609" s="24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13"/>
      <c r="I610" s="15"/>
      <c r="J610" s="7"/>
      <c r="K610" s="19"/>
      <c r="L610" s="19"/>
      <c r="M610" s="24"/>
      <c r="N610" s="24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13"/>
      <c r="I611" s="15"/>
      <c r="J611" s="7"/>
      <c r="K611" s="19"/>
      <c r="L611" s="19"/>
      <c r="M611" s="24"/>
      <c r="N611" s="24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13"/>
      <c r="I612" s="15"/>
      <c r="J612" s="7"/>
      <c r="K612" s="19"/>
      <c r="L612" s="19"/>
      <c r="M612" s="24"/>
      <c r="N612" s="24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13"/>
      <c r="I613" s="15"/>
      <c r="J613" s="7"/>
      <c r="K613" s="19"/>
      <c r="L613" s="19"/>
      <c r="M613" s="24"/>
      <c r="N613" s="24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13"/>
      <c r="I614" s="15"/>
      <c r="J614" s="7"/>
      <c r="K614" s="19"/>
      <c r="L614" s="19"/>
      <c r="M614" s="24"/>
      <c r="N614" s="24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13"/>
      <c r="I615" s="15"/>
      <c r="J615" s="7"/>
      <c r="K615" s="19"/>
      <c r="L615" s="19"/>
      <c r="M615" s="24"/>
      <c r="N615" s="24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13"/>
      <c r="I616" s="15"/>
      <c r="J616" s="7"/>
      <c r="K616" s="19"/>
      <c r="L616" s="19"/>
      <c r="M616" s="24"/>
      <c r="N616" s="24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13"/>
      <c r="I617" s="15"/>
      <c r="J617" s="7"/>
      <c r="K617" s="19"/>
      <c r="L617" s="19"/>
      <c r="M617" s="24"/>
      <c r="N617" s="24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13"/>
      <c r="I618" s="15"/>
      <c r="J618" s="7"/>
      <c r="K618" s="19"/>
      <c r="L618" s="19"/>
      <c r="M618" s="24"/>
      <c r="N618" s="24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13"/>
      <c r="I619" s="15"/>
      <c r="J619" s="7"/>
      <c r="K619" s="19"/>
      <c r="L619" s="19"/>
      <c r="M619" s="24"/>
      <c r="N619" s="24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13"/>
      <c r="I620" s="15"/>
      <c r="J620" s="7"/>
      <c r="K620" s="19"/>
      <c r="L620" s="19"/>
      <c r="M620" s="24"/>
      <c r="N620" s="24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13"/>
      <c r="I621" s="15"/>
      <c r="J621" s="7"/>
      <c r="K621" s="19"/>
      <c r="L621" s="19"/>
      <c r="M621" s="24"/>
      <c r="N621" s="24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13"/>
      <c r="I622" s="15"/>
      <c r="J622" s="7"/>
      <c r="K622" s="19"/>
      <c r="L622" s="19"/>
      <c r="M622" s="24"/>
      <c r="N622" s="24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13"/>
      <c r="I623" s="15"/>
      <c r="J623" s="7"/>
      <c r="K623" s="19"/>
      <c r="L623" s="19"/>
      <c r="M623" s="24"/>
      <c r="N623" s="24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13"/>
      <c r="I624" s="15"/>
      <c r="J624" s="7"/>
      <c r="K624" s="19"/>
      <c r="L624" s="19"/>
      <c r="M624" s="24"/>
      <c r="N624" s="24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13"/>
      <c r="I625" s="15"/>
      <c r="J625" s="7"/>
      <c r="K625" s="19"/>
      <c r="L625" s="19"/>
      <c r="M625" s="24"/>
      <c r="N625" s="24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13"/>
      <c r="I626" s="15"/>
      <c r="J626" s="7"/>
      <c r="K626" s="19"/>
      <c r="L626" s="19"/>
      <c r="M626" s="24"/>
      <c r="N626" s="24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13"/>
      <c r="I627" s="15"/>
      <c r="J627" s="7"/>
      <c r="K627" s="19"/>
      <c r="L627" s="19"/>
      <c r="M627" s="24"/>
      <c r="N627" s="24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13"/>
      <c r="I628" s="15"/>
      <c r="J628" s="7"/>
      <c r="K628" s="19"/>
      <c r="L628" s="19"/>
      <c r="M628" s="24"/>
      <c r="N628" s="24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13"/>
      <c r="I629" s="15"/>
      <c r="J629" s="7"/>
      <c r="K629" s="19"/>
      <c r="L629" s="19"/>
      <c r="M629" s="24"/>
      <c r="N629" s="24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13"/>
      <c r="I630" s="15"/>
      <c r="J630" s="7"/>
      <c r="K630" s="19"/>
      <c r="L630" s="19"/>
      <c r="M630" s="24"/>
      <c r="N630" s="24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13"/>
      <c r="I631" s="15"/>
      <c r="J631" s="7"/>
      <c r="K631" s="19"/>
      <c r="L631" s="19"/>
      <c r="M631" s="24"/>
      <c r="N631" s="24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13"/>
      <c r="I632" s="15"/>
      <c r="J632" s="7"/>
      <c r="K632" s="19"/>
      <c r="L632" s="19"/>
      <c r="M632" s="24"/>
      <c r="N632" s="24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13"/>
      <c r="I633" s="15"/>
      <c r="J633" s="7"/>
      <c r="K633" s="19"/>
      <c r="L633" s="19"/>
      <c r="M633" s="24"/>
      <c r="N633" s="24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13"/>
      <c r="I634" s="15"/>
      <c r="J634" s="7"/>
      <c r="K634" s="19"/>
      <c r="L634" s="19"/>
      <c r="M634" s="24"/>
      <c r="N634" s="24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13"/>
      <c r="I635" s="15"/>
      <c r="J635" s="7"/>
      <c r="K635" s="19"/>
      <c r="L635" s="19"/>
      <c r="M635" s="24"/>
      <c r="N635" s="24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13"/>
      <c r="I636" s="15"/>
      <c r="J636" s="7"/>
      <c r="K636" s="19"/>
      <c r="L636" s="19"/>
      <c r="M636" s="24"/>
      <c r="N636" s="24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13"/>
      <c r="I637" s="15"/>
      <c r="J637" s="7"/>
      <c r="K637" s="19"/>
      <c r="L637" s="19"/>
      <c r="M637" s="24"/>
      <c r="N637" s="24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13"/>
      <c r="I638" s="15"/>
      <c r="J638" s="7"/>
      <c r="K638" s="19"/>
      <c r="L638" s="19"/>
      <c r="M638" s="24"/>
      <c r="N638" s="24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13"/>
      <c r="I639" s="15"/>
      <c r="J639" s="7"/>
      <c r="K639" s="19"/>
      <c r="L639" s="19"/>
      <c r="M639" s="24"/>
      <c r="N639" s="24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13"/>
      <c r="I640" s="15"/>
      <c r="J640" s="7"/>
      <c r="K640" s="19"/>
      <c r="L640" s="19"/>
      <c r="M640" s="24"/>
      <c r="N640" s="24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13"/>
      <c r="I641" s="15"/>
      <c r="J641" s="7"/>
      <c r="K641" s="19"/>
      <c r="L641" s="19"/>
      <c r="M641" s="24"/>
      <c r="N641" s="24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13"/>
      <c r="I642" s="15"/>
      <c r="J642" s="7"/>
      <c r="K642" s="19"/>
      <c r="L642" s="19"/>
      <c r="M642" s="24"/>
      <c r="N642" s="24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13"/>
      <c r="I643" s="15"/>
      <c r="J643" s="7"/>
      <c r="K643" s="19"/>
      <c r="L643" s="19"/>
      <c r="M643" s="24"/>
      <c r="N643" s="24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13"/>
      <c r="I644" s="15"/>
      <c r="J644" s="7"/>
      <c r="K644" s="19"/>
      <c r="L644" s="19"/>
      <c r="M644" s="24"/>
      <c r="N644" s="24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13"/>
      <c r="I645" s="15"/>
      <c r="J645" s="7"/>
      <c r="K645" s="19"/>
      <c r="L645" s="19"/>
      <c r="M645" s="24"/>
      <c r="N645" s="24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13"/>
      <c r="I646" s="15"/>
      <c r="J646" s="7"/>
      <c r="K646" s="19"/>
      <c r="L646" s="19"/>
      <c r="M646" s="24"/>
      <c r="N646" s="24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13"/>
      <c r="I647" s="15"/>
      <c r="J647" s="7"/>
      <c r="K647" s="19"/>
      <c r="L647" s="19"/>
      <c r="M647" s="24"/>
      <c r="N647" s="24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13"/>
      <c r="I648" s="15"/>
      <c r="J648" s="7"/>
      <c r="K648" s="19"/>
      <c r="L648" s="19"/>
      <c r="M648" s="24"/>
      <c r="N648" s="24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13"/>
      <c r="I649" s="15"/>
      <c r="J649" s="7"/>
      <c r="K649" s="19"/>
      <c r="L649" s="19"/>
      <c r="M649" s="24"/>
      <c r="N649" s="24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13"/>
      <c r="I650" s="15"/>
      <c r="J650" s="7"/>
      <c r="K650" s="19"/>
      <c r="L650" s="19"/>
      <c r="M650" s="24"/>
      <c r="N650" s="24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13"/>
      <c r="I651" s="15"/>
      <c r="J651" s="7"/>
      <c r="K651" s="19"/>
      <c r="L651" s="19"/>
      <c r="M651" s="24"/>
      <c r="N651" s="24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13"/>
      <c r="I652" s="15"/>
      <c r="J652" s="7"/>
      <c r="K652" s="19"/>
      <c r="L652" s="19"/>
      <c r="M652" s="24"/>
      <c r="N652" s="24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13"/>
      <c r="I653" s="15"/>
      <c r="J653" s="7"/>
      <c r="K653" s="19"/>
      <c r="L653" s="19"/>
      <c r="M653" s="24"/>
      <c r="N653" s="24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13"/>
      <c r="I654" s="15"/>
      <c r="J654" s="7"/>
      <c r="K654" s="19"/>
      <c r="L654" s="19"/>
      <c r="M654" s="24"/>
      <c r="N654" s="24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13"/>
      <c r="I655" s="15"/>
      <c r="J655" s="7"/>
      <c r="K655" s="19"/>
      <c r="L655" s="19"/>
      <c r="M655" s="24"/>
      <c r="N655" s="24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13"/>
      <c r="I656" s="15"/>
      <c r="J656" s="7"/>
      <c r="K656" s="19"/>
      <c r="L656" s="19"/>
      <c r="M656" s="24"/>
      <c r="N656" s="24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13"/>
      <c r="I657" s="15"/>
      <c r="J657" s="7"/>
      <c r="K657" s="19"/>
      <c r="L657" s="19"/>
      <c r="M657" s="24"/>
      <c r="N657" s="24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13"/>
      <c r="I658" s="15"/>
      <c r="J658" s="7"/>
      <c r="K658" s="19"/>
      <c r="L658" s="19"/>
      <c r="M658" s="24"/>
      <c r="N658" s="24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13"/>
      <c r="I659" s="15"/>
      <c r="J659" s="7"/>
      <c r="K659" s="19"/>
      <c r="L659" s="19"/>
      <c r="M659" s="24"/>
      <c r="N659" s="24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13"/>
      <c r="I660" s="15"/>
      <c r="J660" s="7"/>
      <c r="K660" s="19"/>
      <c r="L660" s="19"/>
      <c r="M660" s="24"/>
      <c r="N660" s="24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13"/>
      <c r="I661" s="15"/>
      <c r="J661" s="7"/>
      <c r="K661" s="19"/>
      <c r="L661" s="19"/>
      <c r="M661" s="24"/>
      <c r="N661" s="24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13"/>
      <c r="I662" s="15"/>
      <c r="J662" s="7"/>
      <c r="K662" s="19"/>
      <c r="L662" s="19"/>
      <c r="M662" s="24"/>
      <c r="N662" s="24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13"/>
      <c r="I663" s="15"/>
      <c r="J663" s="7"/>
      <c r="K663" s="19"/>
      <c r="L663" s="19"/>
      <c r="M663" s="24"/>
      <c r="N663" s="24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13"/>
      <c r="I664" s="15"/>
      <c r="J664" s="7"/>
      <c r="K664" s="19"/>
      <c r="L664" s="19"/>
      <c r="M664" s="24"/>
      <c r="N664" s="24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13"/>
      <c r="I665" s="15"/>
      <c r="J665" s="7"/>
      <c r="K665" s="19"/>
      <c r="L665" s="19"/>
      <c r="M665" s="24"/>
      <c r="N665" s="24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13"/>
      <c r="I666" s="15"/>
      <c r="J666" s="7"/>
      <c r="K666" s="19"/>
      <c r="L666" s="19"/>
      <c r="M666" s="24"/>
      <c r="N666" s="24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13"/>
      <c r="I667" s="15"/>
      <c r="J667" s="7"/>
      <c r="K667" s="19"/>
      <c r="L667" s="19"/>
      <c r="M667" s="24"/>
      <c r="N667" s="24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13"/>
      <c r="I668" s="15"/>
      <c r="J668" s="7"/>
      <c r="K668" s="19"/>
      <c r="L668" s="19"/>
      <c r="M668" s="24"/>
      <c r="N668" s="24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13"/>
      <c r="I669" s="15"/>
      <c r="J669" s="7"/>
      <c r="K669" s="19"/>
      <c r="L669" s="19"/>
      <c r="M669" s="24"/>
      <c r="N669" s="24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13"/>
      <c r="I670" s="15"/>
      <c r="J670" s="7"/>
      <c r="K670" s="19"/>
      <c r="L670" s="19"/>
      <c r="M670" s="24"/>
      <c r="N670" s="24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13"/>
      <c r="I671" s="15"/>
      <c r="J671" s="7"/>
      <c r="K671" s="19"/>
      <c r="L671" s="19"/>
      <c r="M671" s="24"/>
      <c r="N671" s="24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13"/>
      <c r="I672" s="15"/>
      <c r="J672" s="7"/>
      <c r="K672" s="19"/>
      <c r="L672" s="19"/>
      <c r="M672" s="24"/>
      <c r="N672" s="24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13"/>
      <c r="I673" s="15"/>
      <c r="J673" s="7"/>
      <c r="K673" s="19"/>
      <c r="L673" s="19"/>
      <c r="M673" s="24"/>
      <c r="N673" s="24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13"/>
      <c r="I674" s="15"/>
      <c r="J674" s="7"/>
      <c r="K674" s="19"/>
      <c r="L674" s="19"/>
      <c r="M674" s="24"/>
      <c r="N674" s="24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13"/>
      <c r="I675" s="15"/>
      <c r="J675" s="7"/>
      <c r="K675" s="19"/>
      <c r="L675" s="19"/>
      <c r="M675" s="24"/>
      <c r="N675" s="24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13"/>
      <c r="I676" s="15"/>
      <c r="J676" s="7"/>
      <c r="K676" s="19"/>
      <c r="L676" s="19"/>
      <c r="M676" s="24"/>
      <c r="N676" s="24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13"/>
      <c r="I677" s="15"/>
      <c r="J677" s="7"/>
      <c r="K677" s="19"/>
      <c r="L677" s="19"/>
      <c r="M677" s="24"/>
      <c r="N677" s="24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13"/>
      <c r="I678" s="15"/>
      <c r="J678" s="7"/>
      <c r="K678" s="19"/>
      <c r="L678" s="19"/>
      <c r="M678" s="24"/>
      <c r="N678" s="24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13"/>
      <c r="I679" s="15"/>
      <c r="J679" s="7"/>
      <c r="K679" s="19"/>
      <c r="L679" s="19"/>
      <c r="M679" s="24"/>
      <c r="N679" s="24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13"/>
      <c r="I680" s="15"/>
      <c r="J680" s="7"/>
      <c r="K680" s="19"/>
      <c r="L680" s="19"/>
      <c r="M680" s="24"/>
      <c r="N680" s="24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13"/>
      <c r="I681" s="15"/>
      <c r="J681" s="7"/>
      <c r="K681" s="19"/>
      <c r="L681" s="19"/>
      <c r="M681" s="24"/>
      <c r="N681" s="24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13"/>
      <c r="I682" s="15"/>
      <c r="J682" s="7"/>
      <c r="K682" s="19"/>
      <c r="L682" s="19"/>
      <c r="M682" s="24"/>
      <c r="N682" s="24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13"/>
      <c r="I683" s="15"/>
      <c r="J683" s="7"/>
      <c r="K683" s="19"/>
      <c r="L683" s="19"/>
      <c r="M683" s="24"/>
      <c r="N683" s="24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13"/>
      <c r="I684" s="15"/>
      <c r="J684" s="7"/>
      <c r="K684" s="19"/>
      <c r="L684" s="19"/>
      <c r="M684" s="24"/>
      <c r="N684" s="24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13"/>
      <c r="I685" s="15"/>
      <c r="J685" s="7"/>
      <c r="K685" s="19"/>
      <c r="L685" s="19"/>
      <c r="M685" s="24"/>
      <c r="N685" s="24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13"/>
      <c r="I686" s="15"/>
      <c r="J686" s="7"/>
      <c r="K686" s="19"/>
      <c r="L686" s="19"/>
      <c r="M686" s="24"/>
      <c r="N686" s="24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13"/>
      <c r="I687" s="15"/>
      <c r="J687" s="7"/>
      <c r="K687" s="19"/>
      <c r="L687" s="19"/>
      <c r="M687" s="24"/>
      <c r="N687" s="24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13"/>
      <c r="I688" s="15"/>
      <c r="J688" s="7"/>
      <c r="K688" s="19"/>
      <c r="L688" s="19"/>
      <c r="M688" s="24"/>
      <c r="N688" s="24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13"/>
      <c r="I689" s="15"/>
      <c r="J689" s="7"/>
      <c r="K689" s="19"/>
      <c r="L689" s="19"/>
      <c r="M689" s="24"/>
      <c r="N689" s="24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13"/>
      <c r="I690" s="15"/>
      <c r="J690" s="7"/>
      <c r="K690" s="19"/>
      <c r="L690" s="19"/>
      <c r="M690" s="24"/>
      <c r="N690" s="24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13"/>
      <c r="I691" s="15"/>
      <c r="J691" s="7"/>
      <c r="K691" s="19"/>
      <c r="L691" s="19"/>
      <c r="M691" s="24"/>
      <c r="N691" s="24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13"/>
      <c r="I692" s="15"/>
      <c r="J692" s="7"/>
      <c r="K692" s="19"/>
      <c r="L692" s="19"/>
      <c r="M692" s="24"/>
      <c r="N692" s="24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13"/>
      <c r="I693" s="15"/>
      <c r="J693" s="7"/>
      <c r="K693" s="19"/>
      <c r="L693" s="19"/>
      <c r="M693" s="24"/>
      <c r="N693" s="24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13"/>
      <c r="I694" s="15"/>
      <c r="J694" s="7"/>
      <c r="K694" s="19"/>
      <c r="L694" s="19"/>
      <c r="M694" s="24"/>
      <c r="N694" s="24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13"/>
      <c r="I695" s="15"/>
      <c r="J695" s="7"/>
      <c r="K695" s="19"/>
      <c r="L695" s="19"/>
      <c r="M695" s="24"/>
      <c r="N695" s="24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13"/>
      <c r="I696" s="15"/>
      <c r="J696" s="7"/>
      <c r="K696" s="19"/>
      <c r="L696" s="19"/>
      <c r="M696" s="24"/>
      <c r="N696" s="24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13"/>
      <c r="I697" s="15"/>
      <c r="J697" s="7"/>
      <c r="K697" s="19"/>
      <c r="L697" s="19"/>
      <c r="M697" s="24"/>
      <c r="N697" s="24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13"/>
      <c r="I698" s="15"/>
      <c r="J698" s="7"/>
      <c r="K698" s="19"/>
      <c r="L698" s="19"/>
      <c r="M698" s="24"/>
      <c r="N698" s="24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13"/>
      <c r="I699" s="15"/>
      <c r="J699" s="7"/>
      <c r="K699" s="19"/>
      <c r="L699" s="19"/>
      <c r="M699" s="24"/>
      <c r="N699" s="24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13"/>
      <c r="I700" s="15"/>
      <c r="J700" s="7"/>
      <c r="K700" s="19"/>
      <c r="L700" s="19"/>
      <c r="M700" s="24"/>
      <c r="N700" s="24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13"/>
      <c r="I701" s="15"/>
      <c r="J701" s="7"/>
      <c r="K701" s="19"/>
      <c r="L701" s="19"/>
      <c r="M701" s="24"/>
      <c r="N701" s="24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13"/>
      <c r="I702" s="15"/>
      <c r="J702" s="7"/>
      <c r="K702" s="19"/>
      <c r="L702" s="19"/>
      <c r="M702" s="24"/>
      <c r="N702" s="24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13"/>
      <c r="I703" s="15"/>
      <c r="J703" s="7"/>
      <c r="K703" s="19"/>
      <c r="L703" s="19"/>
      <c r="M703" s="24"/>
      <c r="N703" s="24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13"/>
      <c r="I704" s="15"/>
      <c r="J704" s="7"/>
      <c r="K704" s="19"/>
      <c r="L704" s="19"/>
      <c r="M704" s="24"/>
      <c r="N704" s="24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13"/>
      <c r="I705" s="15"/>
      <c r="J705" s="7"/>
      <c r="K705" s="19"/>
      <c r="L705" s="19"/>
      <c r="M705" s="24"/>
      <c r="N705" s="24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13"/>
      <c r="I706" s="15"/>
      <c r="J706" s="7"/>
      <c r="K706" s="19"/>
      <c r="L706" s="19"/>
      <c r="M706" s="24"/>
      <c r="N706" s="24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13"/>
      <c r="I707" s="15"/>
      <c r="J707" s="7"/>
      <c r="K707" s="19"/>
      <c r="L707" s="19"/>
      <c r="M707" s="24"/>
      <c r="N707" s="24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13"/>
      <c r="I708" s="15"/>
      <c r="J708" s="7"/>
      <c r="K708" s="19"/>
      <c r="L708" s="19"/>
      <c r="M708" s="24"/>
      <c r="N708" s="24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13"/>
      <c r="I709" s="15"/>
      <c r="J709" s="7"/>
      <c r="K709" s="19"/>
      <c r="L709" s="19"/>
      <c r="M709" s="24"/>
      <c r="N709" s="24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13"/>
      <c r="I710" s="15"/>
      <c r="J710" s="7"/>
      <c r="K710" s="19"/>
      <c r="L710" s="19"/>
      <c r="M710" s="24"/>
      <c r="N710" s="24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13"/>
      <c r="I711" s="15"/>
      <c r="J711" s="7"/>
      <c r="K711" s="19"/>
      <c r="L711" s="19"/>
      <c r="M711" s="24"/>
      <c r="N711" s="24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13"/>
      <c r="I712" s="15"/>
      <c r="J712" s="7"/>
      <c r="K712" s="19"/>
      <c r="L712" s="19"/>
      <c r="M712" s="24"/>
      <c r="N712" s="24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13"/>
      <c r="I713" s="15"/>
      <c r="J713" s="7"/>
      <c r="K713" s="19"/>
      <c r="L713" s="19"/>
      <c r="M713" s="24"/>
      <c r="N713" s="24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13"/>
      <c r="I714" s="15"/>
      <c r="J714" s="7"/>
      <c r="K714" s="19"/>
      <c r="L714" s="19"/>
      <c r="M714" s="24"/>
      <c r="N714" s="24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13"/>
      <c r="I715" s="15"/>
      <c r="J715" s="7"/>
      <c r="K715" s="19"/>
      <c r="L715" s="19"/>
      <c r="M715" s="24"/>
      <c r="N715" s="24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13"/>
      <c r="I716" s="15"/>
      <c r="J716" s="7"/>
      <c r="K716" s="19"/>
      <c r="L716" s="19"/>
      <c r="M716" s="24"/>
      <c r="N716" s="24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13"/>
      <c r="I717" s="15"/>
      <c r="J717" s="7"/>
      <c r="K717" s="19"/>
      <c r="L717" s="19"/>
      <c r="M717" s="24"/>
      <c r="N717" s="24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13"/>
      <c r="I718" s="15"/>
      <c r="J718" s="7"/>
      <c r="K718" s="19"/>
      <c r="L718" s="19"/>
      <c r="M718" s="24"/>
      <c r="N718" s="24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13"/>
      <c r="I719" s="15"/>
      <c r="J719" s="7"/>
      <c r="K719" s="19"/>
      <c r="L719" s="19"/>
      <c r="M719" s="24"/>
      <c r="N719" s="24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13"/>
      <c r="I720" s="15"/>
      <c r="J720" s="7"/>
      <c r="K720" s="19"/>
      <c r="L720" s="19"/>
      <c r="M720" s="24"/>
      <c r="N720" s="24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13"/>
      <c r="I721" s="15"/>
      <c r="J721" s="7"/>
      <c r="K721" s="19"/>
      <c r="L721" s="19"/>
      <c r="M721" s="24"/>
      <c r="N721" s="24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13"/>
      <c r="I722" s="15"/>
      <c r="J722" s="7"/>
      <c r="K722" s="19"/>
      <c r="L722" s="19"/>
      <c r="M722" s="24"/>
      <c r="N722" s="24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13"/>
      <c r="I723" s="15"/>
      <c r="J723" s="7"/>
      <c r="K723" s="19"/>
      <c r="L723" s="19"/>
      <c r="M723" s="24"/>
      <c r="N723" s="24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13"/>
      <c r="I724" s="15"/>
      <c r="J724" s="7"/>
      <c r="K724" s="19"/>
      <c r="L724" s="19"/>
      <c r="M724" s="24"/>
      <c r="N724" s="24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13"/>
      <c r="I725" s="15"/>
      <c r="J725" s="7"/>
      <c r="K725" s="19"/>
      <c r="L725" s="19"/>
      <c r="M725" s="24"/>
      <c r="N725" s="24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13"/>
      <c r="I726" s="15"/>
      <c r="J726" s="7"/>
      <c r="K726" s="19"/>
      <c r="L726" s="19"/>
      <c r="M726" s="24"/>
      <c r="N726" s="24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13"/>
      <c r="I727" s="15"/>
      <c r="J727" s="7"/>
      <c r="K727" s="19"/>
      <c r="L727" s="19"/>
      <c r="M727" s="24"/>
      <c r="N727" s="24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13"/>
      <c r="I728" s="15"/>
      <c r="J728" s="7"/>
      <c r="K728" s="19"/>
      <c r="L728" s="19"/>
      <c r="M728" s="24"/>
      <c r="N728" s="24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13"/>
      <c r="I729" s="15"/>
      <c r="J729" s="7"/>
      <c r="K729" s="19"/>
      <c r="L729" s="19"/>
      <c r="M729" s="24"/>
      <c r="N729" s="24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13"/>
      <c r="I730" s="15"/>
      <c r="J730" s="7"/>
      <c r="K730" s="19"/>
      <c r="L730" s="19"/>
      <c r="M730" s="24"/>
      <c r="N730" s="24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13"/>
      <c r="I731" s="15"/>
      <c r="J731" s="7"/>
      <c r="K731" s="19"/>
      <c r="L731" s="19"/>
      <c r="M731" s="24"/>
      <c r="N731" s="24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13"/>
      <c r="I732" s="15"/>
      <c r="J732" s="7"/>
      <c r="K732" s="19"/>
      <c r="L732" s="19"/>
      <c r="M732" s="24"/>
      <c r="N732" s="24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13"/>
      <c r="I733" s="15"/>
      <c r="J733" s="7"/>
      <c r="K733" s="19"/>
      <c r="L733" s="19"/>
      <c r="M733" s="24"/>
      <c r="N733" s="24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13"/>
      <c r="I734" s="15"/>
      <c r="J734" s="7"/>
      <c r="K734" s="19"/>
      <c r="L734" s="19"/>
      <c r="M734" s="24"/>
      <c r="N734" s="24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13"/>
      <c r="I735" s="15"/>
      <c r="J735" s="7"/>
      <c r="K735" s="19"/>
      <c r="L735" s="19"/>
      <c r="M735" s="24"/>
      <c r="N735" s="24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13"/>
      <c r="I736" s="15"/>
      <c r="J736" s="7"/>
      <c r="K736" s="19"/>
      <c r="L736" s="19"/>
      <c r="M736" s="24"/>
      <c r="N736" s="24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13"/>
      <c r="I737" s="15"/>
      <c r="J737" s="7"/>
      <c r="K737" s="19"/>
      <c r="L737" s="19"/>
      <c r="M737" s="24"/>
      <c r="N737" s="24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13"/>
      <c r="I738" s="15"/>
      <c r="J738" s="7"/>
      <c r="K738" s="19"/>
      <c r="L738" s="19"/>
      <c r="M738" s="24"/>
      <c r="N738" s="24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13"/>
      <c r="I739" s="15"/>
      <c r="J739" s="7"/>
      <c r="K739" s="19"/>
      <c r="L739" s="19"/>
      <c r="M739" s="24"/>
      <c r="N739" s="24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13"/>
      <c r="I740" s="15"/>
      <c r="J740" s="7"/>
      <c r="K740" s="19"/>
      <c r="L740" s="19"/>
      <c r="M740" s="24"/>
      <c r="N740" s="24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13"/>
      <c r="I741" s="15"/>
      <c r="J741" s="7"/>
      <c r="K741" s="19"/>
      <c r="L741" s="19"/>
      <c r="M741" s="24"/>
      <c r="N741" s="24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13"/>
      <c r="I742" s="15"/>
      <c r="J742" s="7"/>
      <c r="K742" s="19"/>
      <c r="L742" s="19"/>
      <c r="M742" s="24"/>
      <c r="N742" s="24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13"/>
      <c r="I743" s="15"/>
      <c r="J743" s="7"/>
      <c r="K743" s="19"/>
      <c r="L743" s="19"/>
      <c r="M743" s="24"/>
      <c r="N743" s="24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13"/>
      <c r="I744" s="15"/>
      <c r="J744" s="7"/>
      <c r="K744" s="19"/>
      <c r="L744" s="19"/>
      <c r="M744" s="24"/>
      <c r="N744" s="24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13"/>
      <c r="I745" s="15"/>
      <c r="J745" s="7"/>
      <c r="K745" s="19"/>
      <c r="L745" s="19"/>
      <c r="M745" s="24"/>
      <c r="N745" s="24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13"/>
      <c r="I746" s="15"/>
      <c r="J746" s="7"/>
      <c r="K746" s="19"/>
      <c r="L746" s="19"/>
      <c r="M746" s="24"/>
      <c r="N746" s="24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13"/>
      <c r="I747" s="15"/>
      <c r="J747" s="7"/>
      <c r="K747" s="19"/>
      <c r="L747" s="19"/>
      <c r="M747" s="24"/>
      <c r="N747" s="24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13"/>
      <c r="I748" s="15"/>
      <c r="J748" s="7"/>
      <c r="K748" s="19"/>
      <c r="L748" s="19"/>
      <c r="M748" s="24"/>
      <c r="N748" s="24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13"/>
      <c r="I749" s="15"/>
      <c r="J749" s="7"/>
      <c r="K749" s="19"/>
      <c r="L749" s="19"/>
      <c r="M749" s="24"/>
      <c r="N749" s="24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13"/>
      <c r="I750" s="15"/>
      <c r="J750" s="7"/>
      <c r="K750" s="19"/>
      <c r="L750" s="19"/>
      <c r="M750" s="24"/>
      <c r="N750" s="24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13"/>
      <c r="I751" s="15"/>
      <c r="J751" s="7"/>
      <c r="K751" s="19"/>
      <c r="L751" s="19"/>
      <c r="M751" s="24"/>
      <c r="N751" s="24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13"/>
      <c r="I752" s="15"/>
      <c r="J752" s="7"/>
      <c r="K752" s="19"/>
      <c r="L752" s="19"/>
      <c r="M752" s="24"/>
      <c r="N752" s="24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13"/>
      <c r="I753" s="15"/>
      <c r="J753" s="7"/>
      <c r="K753" s="19"/>
      <c r="L753" s="19"/>
      <c r="M753" s="24"/>
      <c r="N753" s="24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13"/>
      <c r="I754" s="15"/>
      <c r="J754" s="7"/>
      <c r="K754" s="19"/>
      <c r="L754" s="19"/>
      <c r="M754" s="24"/>
      <c r="N754" s="24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13"/>
      <c r="I755" s="15"/>
      <c r="J755" s="7"/>
      <c r="K755" s="19"/>
      <c r="L755" s="19"/>
      <c r="M755" s="24"/>
      <c r="N755" s="24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13"/>
      <c r="I756" s="15"/>
      <c r="J756" s="7"/>
      <c r="K756" s="19"/>
      <c r="L756" s="19"/>
      <c r="M756" s="24"/>
      <c r="N756" s="24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13"/>
      <c r="I757" s="15"/>
      <c r="J757" s="7"/>
      <c r="K757" s="19"/>
      <c r="L757" s="19"/>
      <c r="M757" s="24"/>
      <c r="N757" s="24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13"/>
      <c r="I758" s="15"/>
      <c r="J758" s="7"/>
      <c r="K758" s="19"/>
      <c r="L758" s="19"/>
      <c r="M758" s="24"/>
      <c r="N758" s="24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13"/>
      <c r="I759" s="15"/>
      <c r="J759" s="7"/>
      <c r="K759" s="19"/>
      <c r="L759" s="19"/>
      <c r="M759" s="24"/>
      <c r="N759" s="24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13"/>
      <c r="I760" s="15"/>
      <c r="J760" s="7"/>
      <c r="K760" s="19"/>
      <c r="L760" s="19"/>
      <c r="M760" s="24"/>
      <c r="N760" s="24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13"/>
      <c r="I761" s="15"/>
      <c r="J761" s="7"/>
      <c r="K761" s="19"/>
      <c r="L761" s="19"/>
      <c r="M761" s="24"/>
      <c r="N761" s="24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13"/>
      <c r="I762" s="15"/>
      <c r="J762" s="7"/>
      <c r="K762" s="19"/>
      <c r="L762" s="19"/>
      <c r="M762" s="24"/>
      <c r="N762" s="24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13"/>
      <c r="I763" s="15"/>
      <c r="J763" s="7"/>
      <c r="K763" s="19"/>
      <c r="L763" s="19"/>
      <c r="M763" s="24"/>
      <c r="N763" s="24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13"/>
      <c r="I764" s="15"/>
      <c r="J764" s="7"/>
      <c r="K764" s="19"/>
      <c r="L764" s="19"/>
      <c r="M764" s="24"/>
      <c r="N764" s="24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13"/>
      <c r="I765" s="15"/>
      <c r="J765" s="7"/>
      <c r="K765" s="19"/>
      <c r="L765" s="19"/>
      <c r="M765" s="24"/>
      <c r="N765" s="24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13"/>
      <c r="I766" s="15"/>
      <c r="J766" s="7"/>
      <c r="K766" s="19"/>
      <c r="L766" s="19"/>
      <c r="M766" s="24"/>
      <c r="N766" s="24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13"/>
      <c r="I767" s="15"/>
      <c r="J767" s="7"/>
      <c r="K767" s="19"/>
      <c r="L767" s="19"/>
      <c r="M767" s="24"/>
      <c r="N767" s="24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13"/>
      <c r="I768" s="15"/>
      <c r="J768" s="7"/>
      <c r="K768" s="19"/>
      <c r="L768" s="19"/>
      <c r="M768" s="24"/>
      <c r="N768" s="24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13"/>
      <c r="I769" s="15"/>
      <c r="J769" s="7"/>
      <c r="K769" s="19"/>
      <c r="L769" s="19"/>
      <c r="M769" s="24"/>
      <c r="N769" s="24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13"/>
      <c r="I770" s="15"/>
      <c r="J770" s="7"/>
      <c r="K770" s="19"/>
      <c r="L770" s="19"/>
      <c r="M770" s="24"/>
      <c r="N770" s="24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13"/>
      <c r="I771" s="15"/>
      <c r="J771" s="7"/>
      <c r="K771" s="19"/>
      <c r="L771" s="19"/>
      <c r="M771" s="24"/>
      <c r="N771" s="24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13"/>
      <c r="I772" s="15"/>
      <c r="J772" s="7"/>
      <c r="K772" s="19"/>
      <c r="L772" s="19"/>
      <c r="M772" s="24"/>
      <c r="N772" s="24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13"/>
      <c r="I773" s="15"/>
      <c r="J773" s="7"/>
      <c r="K773" s="19"/>
      <c r="L773" s="19"/>
      <c r="M773" s="24"/>
      <c r="N773" s="24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13"/>
      <c r="I774" s="15"/>
      <c r="J774" s="7"/>
      <c r="K774" s="19"/>
      <c r="L774" s="19"/>
      <c r="M774" s="24"/>
      <c r="N774" s="24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13"/>
      <c r="I775" s="15"/>
      <c r="J775" s="7"/>
      <c r="K775" s="19"/>
      <c r="L775" s="19"/>
      <c r="M775" s="24"/>
      <c r="N775" s="24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13"/>
      <c r="I776" s="15"/>
      <c r="J776" s="7"/>
      <c r="K776" s="19"/>
      <c r="L776" s="19"/>
      <c r="M776" s="24"/>
      <c r="N776" s="24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13"/>
      <c r="I777" s="15"/>
      <c r="J777" s="7"/>
      <c r="K777" s="19"/>
      <c r="L777" s="19"/>
      <c r="M777" s="24"/>
      <c r="N777" s="24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13"/>
      <c r="I778" s="15"/>
      <c r="J778" s="7"/>
      <c r="K778" s="19"/>
      <c r="L778" s="19"/>
      <c r="M778" s="24"/>
      <c r="N778" s="24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13"/>
      <c r="I779" s="15"/>
      <c r="J779" s="7"/>
      <c r="K779" s="19"/>
      <c r="L779" s="19"/>
      <c r="M779" s="24"/>
      <c r="N779" s="24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13"/>
      <c r="I780" s="15"/>
      <c r="J780" s="7"/>
      <c r="K780" s="19"/>
      <c r="L780" s="19"/>
      <c r="M780" s="24"/>
      <c r="N780" s="24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13"/>
      <c r="I781" s="15"/>
      <c r="J781" s="7"/>
      <c r="K781" s="19"/>
      <c r="L781" s="19"/>
      <c r="M781" s="24"/>
      <c r="N781" s="24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13"/>
      <c r="I782" s="15"/>
      <c r="J782" s="7"/>
      <c r="K782" s="19"/>
      <c r="L782" s="19"/>
      <c r="M782" s="24"/>
      <c r="N782" s="24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13"/>
      <c r="I783" s="15"/>
      <c r="J783" s="7"/>
      <c r="K783" s="19"/>
      <c r="L783" s="19"/>
      <c r="M783" s="24"/>
      <c r="N783" s="24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13"/>
      <c r="I784" s="15"/>
      <c r="J784" s="7"/>
      <c r="K784" s="19"/>
      <c r="L784" s="19"/>
      <c r="M784" s="24"/>
      <c r="N784" s="24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13"/>
      <c r="I785" s="15"/>
      <c r="J785" s="7"/>
      <c r="K785" s="19"/>
      <c r="L785" s="19"/>
      <c r="M785" s="24"/>
      <c r="N785" s="24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13"/>
      <c r="I786" s="15"/>
      <c r="J786" s="7"/>
      <c r="K786" s="19"/>
      <c r="L786" s="19"/>
      <c r="M786" s="24"/>
      <c r="N786" s="24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13"/>
      <c r="I787" s="15"/>
      <c r="J787" s="7"/>
      <c r="K787" s="19"/>
      <c r="L787" s="19"/>
      <c r="M787" s="24"/>
      <c r="N787" s="24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13"/>
      <c r="I788" s="15"/>
      <c r="J788" s="7"/>
      <c r="K788" s="19"/>
      <c r="L788" s="19"/>
      <c r="M788" s="24"/>
      <c r="N788" s="24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13"/>
      <c r="I789" s="15"/>
      <c r="J789" s="7"/>
      <c r="K789" s="19"/>
      <c r="L789" s="19"/>
      <c r="M789" s="24"/>
      <c r="N789" s="24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13"/>
      <c r="I790" s="15"/>
      <c r="J790" s="7"/>
      <c r="K790" s="19"/>
      <c r="L790" s="19"/>
      <c r="M790" s="24"/>
      <c r="N790" s="24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13"/>
      <c r="I791" s="15"/>
      <c r="J791" s="7"/>
      <c r="K791" s="19"/>
      <c r="L791" s="19"/>
      <c r="M791" s="24"/>
      <c r="N791" s="24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13"/>
      <c r="I792" s="15"/>
      <c r="J792" s="7"/>
      <c r="K792" s="19"/>
      <c r="L792" s="19"/>
      <c r="M792" s="24"/>
      <c r="N792" s="24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13"/>
      <c r="I793" s="15"/>
      <c r="J793" s="7"/>
      <c r="K793" s="19"/>
      <c r="L793" s="19"/>
      <c r="M793" s="24"/>
      <c r="N793" s="24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13"/>
      <c r="I794" s="15"/>
      <c r="J794" s="7"/>
      <c r="K794" s="19"/>
      <c r="L794" s="19"/>
      <c r="M794" s="24"/>
      <c r="N794" s="24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13"/>
      <c r="I795" s="15"/>
      <c r="J795" s="7"/>
      <c r="K795" s="19"/>
      <c r="L795" s="19"/>
      <c r="M795" s="24"/>
      <c r="N795" s="24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13"/>
      <c r="I796" s="15"/>
      <c r="J796" s="7"/>
      <c r="K796" s="19"/>
      <c r="L796" s="19"/>
      <c r="M796" s="24"/>
      <c r="N796" s="24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13"/>
      <c r="I797" s="15"/>
      <c r="J797" s="7"/>
      <c r="K797" s="19"/>
      <c r="L797" s="19"/>
      <c r="M797" s="24"/>
      <c r="N797" s="24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13"/>
      <c r="I798" s="15"/>
      <c r="J798" s="7"/>
      <c r="K798" s="19"/>
      <c r="L798" s="19"/>
      <c r="M798" s="24"/>
      <c r="N798" s="24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13"/>
      <c r="I799" s="15"/>
      <c r="J799" s="7"/>
      <c r="K799" s="19"/>
      <c r="L799" s="19"/>
      <c r="M799" s="24"/>
      <c r="N799" s="24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13"/>
      <c r="I800" s="15"/>
      <c r="J800" s="7"/>
      <c r="K800" s="19"/>
      <c r="L800" s="19"/>
      <c r="M800" s="24"/>
      <c r="N800" s="24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13"/>
      <c r="I801" s="15"/>
      <c r="J801" s="7"/>
      <c r="K801" s="19"/>
      <c r="L801" s="19"/>
      <c r="M801" s="24"/>
      <c r="N801" s="24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13"/>
      <c r="I802" s="15"/>
      <c r="J802" s="7"/>
      <c r="K802" s="19"/>
      <c r="L802" s="19"/>
      <c r="M802" s="24"/>
      <c r="N802" s="24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13"/>
      <c r="I803" s="15"/>
      <c r="J803" s="7"/>
      <c r="K803" s="19"/>
      <c r="L803" s="19"/>
      <c r="M803" s="24"/>
      <c r="N803" s="24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13"/>
      <c r="I804" s="15"/>
      <c r="J804" s="7"/>
      <c r="K804" s="19"/>
      <c r="L804" s="19"/>
      <c r="M804" s="24"/>
      <c r="N804" s="24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13"/>
      <c r="I805" s="15"/>
      <c r="J805" s="7"/>
      <c r="K805" s="19"/>
      <c r="L805" s="19"/>
      <c r="M805" s="24"/>
      <c r="N805" s="24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13"/>
      <c r="I806" s="15"/>
      <c r="J806" s="7"/>
      <c r="K806" s="19"/>
      <c r="L806" s="19"/>
      <c r="M806" s="24"/>
      <c r="N806" s="24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13"/>
      <c r="I807" s="15"/>
      <c r="J807" s="7"/>
      <c r="K807" s="19"/>
      <c r="L807" s="19"/>
      <c r="M807" s="24"/>
      <c r="N807" s="24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13"/>
      <c r="I808" s="15"/>
      <c r="J808" s="7"/>
      <c r="K808" s="19"/>
      <c r="L808" s="19"/>
      <c r="M808" s="24"/>
      <c r="N808" s="24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13"/>
      <c r="I809" s="15"/>
      <c r="J809" s="7"/>
      <c r="K809" s="19"/>
      <c r="L809" s="19"/>
      <c r="M809" s="24"/>
      <c r="N809" s="24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13"/>
      <c r="I810" s="15"/>
      <c r="J810" s="7"/>
      <c r="K810" s="19"/>
      <c r="L810" s="19"/>
      <c r="M810" s="24"/>
      <c r="N810" s="24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13"/>
      <c r="I811" s="15"/>
      <c r="J811" s="7"/>
      <c r="K811" s="19"/>
      <c r="L811" s="19"/>
      <c r="M811" s="24"/>
      <c r="N811" s="24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13"/>
      <c r="I812" s="15"/>
      <c r="J812" s="7"/>
      <c r="K812" s="19"/>
      <c r="L812" s="19"/>
      <c r="M812" s="24"/>
      <c r="N812" s="24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13"/>
      <c r="I813" s="15"/>
      <c r="J813" s="7"/>
      <c r="K813" s="19"/>
      <c r="L813" s="19"/>
      <c r="M813" s="24"/>
      <c r="N813" s="24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13"/>
      <c r="I814" s="15"/>
      <c r="J814" s="7"/>
      <c r="K814" s="19"/>
      <c r="L814" s="19"/>
      <c r="M814" s="24"/>
      <c r="N814" s="24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13"/>
      <c r="I815" s="15"/>
      <c r="J815" s="7"/>
      <c r="K815" s="19"/>
      <c r="L815" s="19"/>
      <c r="M815" s="24"/>
      <c r="N815" s="24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13"/>
      <c r="I816" s="15"/>
      <c r="J816" s="7"/>
      <c r="K816" s="19"/>
      <c r="L816" s="19"/>
      <c r="M816" s="24"/>
      <c r="N816" s="24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13"/>
      <c r="I817" s="15"/>
      <c r="J817" s="7"/>
      <c r="K817" s="19"/>
      <c r="L817" s="19"/>
      <c r="M817" s="24"/>
      <c r="N817" s="24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13"/>
      <c r="I818" s="15"/>
      <c r="J818" s="7"/>
      <c r="K818" s="19"/>
      <c r="L818" s="19"/>
      <c r="M818" s="24"/>
      <c r="N818" s="24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13"/>
      <c r="I819" s="15"/>
      <c r="J819" s="7"/>
      <c r="K819" s="19"/>
      <c r="L819" s="19"/>
      <c r="M819" s="24"/>
      <c r="N819" s="24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13"/>
      <c r="I820" s="15"/>
      <c r="J820" s="7"/>
      <c r="K820" s="19"/>
      <c r="L820" s="19"/>
      <c r="M820" s="24"/>
      <c r="N820" s="24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13"/>
      <c r="I821" s="15"/>
      <c r="J821" s="7"/>
      <c r="K821" s="19"/>
      <c r="L821" s="19"/>
      <c r="M821" s="24"/>
      <c r="N821" s="24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13"/>
      <c r="I822" s="15"/>
      <c r="J822" s="7"/>
      <c r="K822" s="19"/>
      <c r="L822" s="19"/>
      <c r="M822" s="24"/>
      <c r="N822" s="24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13"/>
      <c r="I823" s="15"/>
      <c r="J823" s="7"/>
      <c r="K823" s="19"/>
      <c r="L823" s="19"/>
      <c r="M823" s="24"/>
      <c r="N823" s="24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13"/>
      <c r="I824" s="15"/>
      <c r="J824" s="7"/>
      <c r="K824" s="19"/>
      <c r="L824" s="19"/>
      <c r="M824" s="24"/>
      <c r="N824" s="24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13"/>
      <c r="I825" s="15"/>
      <c r="J825" s="7"/>
      <c r="K825" s="19"/>
      <c r="L825" s="19"/>
      <c r="M825" s="24"/>
      <c r="N825" s="24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13"/>
      <c r="I826" s="15"/>
      <c r="J826" s="7"/>
      <c r="K826" s="19"/>
      <c r="L826" s="19"/>
      <c r="M826" s="24"/>
      <c r="N826" s="24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13"/>
      <c r="I827" s="15"/>
      <c r="J827" s="7"/>
      <c r="K827" s="19"/>
      <c r="L827" s="19"/>
      <c r="M827" s="24"/>
      <c r="N827" s="24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13"/>
      <c r="I828" s="15"/>
      <c r="J828" s="7"/>
      <c r="K828" s="19"/>
      <c r="L828" s="19"/>
      <c r="M828" s="24"/>
      <c r="N828" s="24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13"/>
      <c r="I829" s="15"/>
      <c r="J829" s="7"/>
      <c r="K829" s="19"/>
      <c r="L829" s="19"/>
      <c r="M829" s="24"/>
      <c r="N829" s="24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13"/>
      <c r="I830" s="15"/>
      <c r="J830" s="7"/>
      <c r="K830" s="19"/>
      <c r="L830" s="19"/>
      <c r="M830" s="24"/>
      <c r="N830" s="24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13"/>
      <c r="I831" s="15"/>
      <c r="J831" s="7"/>
      <c r="K831" s="19"/>
      <c r="L831" s="19"/>
      <c r="M831" s="24"/>
      <c r="N831" s="24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13"/>
      <c r="I832" s="15"/>
      <c r="J832" s="7"/>
      <c r="K832" s="19"/>
      <c r="L832" s="19"/>
      <c r="M832" s="24"/>
      <c r="N832" s="24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13"/>
      <c r="I833" s="15"/>
      <c r="J833" s="7"/>
      <c r="K833" s="19"/>
      <c r="L833" s="19"/>
      <c r="M833" s="24"/>
      <c r="N833" s="24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13"/>
      <c r="I834" s="15"/>
      <c r="J834" s="7"/>
      <c r="K834" s="19"/>
      <c r="L834" s="19"/>
      <c r="M834" s="24"/>
      <c r="N834" s="24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13"/>
      <c r="I835" s="15"/>
      <c r="J835" s="7"/>
      <c r="K835" s="19"/>
      <c r="L835" s="19"/>
      <c r="M835" s="24"/>
      <c r="N835" s="24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13"/>
      <c r="I836" s="15"/>
      <c r="J836" s="7"/>
      <c r="K836" s="19"/>
      <c r="L836" s="19"/>
      <c r="M836" s="24"/>
      <c r="N836" s="24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13"/>
      <c r="I837" s="15"/>
      <c r="J837" s="7"/>
      <c r="K837" s="19"/>
      <c r="L837" s="19"/>
      <c r="M837" s="24"/>
      <c r="N837" s="24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13"/>
      <c r="I838" s="15"/>
      <c r="J838" s="7"/>
      <c r="K838" s="19"/>
      <c r="L838" s="19"/>
      <c r="M838" s="24"/>
      <c r="N838" s="24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13"/>
      <c r="I839" s="15"/>
      <c r="J839" s="7"/>
      <c r="K839" s="19"/>
      <c r="L839" s="19"/>
      <c r="M839" s="24"/>
      <c r="N839" s="24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13"/>
      <c r="I840" s="15"/>
      <c r="J840" s="7"/>
      <c r="K840" s="19"/>
      <c r="L840" s="19"/>
      <c r="M840" s="24"/>
      <c r="N840" s="24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13"/>
      <c r="I841" s="15"/>
      <c r="J841" s="7"/>
      <c r="K841" s="19"/>
      <c r="L841" s="19"/>
      <c r="M841" s="24"/>
      <c r="N841" s="24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13"/>
      <c r="I842" s="15"/>
      <c r="J842" s="7"/>
      <c r="K842" s="19"/>
      <c r="L842" s="19"/>
      <c r="M842" s="24"/>
      <c r="N842" s="24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13"/>
      <c r="I843" s="15"/>
      <c r="J843" s="7"/>
      <c r="K843" s="19"/>
      <c r="L843" s="19"/>
      <c r="M843" s="24"/>
      <c r="N843" s="24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13"/>
      <c r="I844" s="15"/>
      <c r="J844" s="7"/>
      <c r="K844" s="19"/>
      <c r="L844" s="19"/>
      <c r="M844" s="24"/>
      <c r="N844" s="24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13"/>
      <c r="I845" s="15"/>
      <c r="J845" s="7"/>
      <c r="K845" s="19"/>
      <c r="L845" s="19"/>
      <c r="M845" s="24"/>
      <c r="N845" s="24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13"/>
      <c r="I846" s="15"/>
      <c r="J846" s="7"/>
      <c r="K846" s="19"/>
      <c r="L846" s="19"/>
      <c r="M846" s="24"/>
      <c r="N846" s="24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13"/>
      <c r="I847" s="15"/>
      <c r="J847" s="7"/>
      <c r="K847" s="19"/>
      <c r="L847" s="19"/>
      <c r="M847" s="24"/>
      <c r="N847" s="24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13"/>
      <c r="I848" s="15"/>
      <c r="J848" s="7"/>
      <c r="K848" s="19"/>
      <c r="L848" s="19"/>
      <c r="M848" s="24"/>
      <c r="N848" s="24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13"/>
      <c r="I849" s="15"/>
      <c r="J849" s="7"/>
      <c r="K849" s="19"/>
      <c r="L849" s="19"/>
      <c r="M849" s="24"/>
      <c r="N849" s="24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13"/>
      <c r="I850" s="15"/>
      <c r="J850" s="7"/>
      <c r="K850" s="19"/>
      <c r="L850" s="19"/>
      <c r="M850" s="24"/>
      <c r="N850" s="24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13"/>
      <c r="I851" s="15"/>
      <c r="J851" s="7"/>
      <c r="K851" s="19"/>
      <c r="L851" s="19"/>
      <c r="M851" s="24"/>
      <c r="N851" s="24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13"/>
      <c r="I852" s="15"/>
      <c r="J852" s="7"/>
      <c r="K852" s="19"/>
      <c r="L852" s="19"/>
      <c r="M852" s="24"/>
      <c r="N852" s="24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13"/>
      <c r="I853" s="15"/>
      <c r="J853" s="7"/>
      <c r="K853" s="19"/>
      <c r="L853" s="19"/>
      <c r="M853" s="24"/>
      <c r="N853" s="24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13"/>
      <c r="I854" s="15"/>
      <c r="J854" s="7"/>
      <c r="K854" s="19"/>
      <c r="L854" s="19"/>
      <c r="M854" s="24"/>
      <c r="N854" s="24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13"/>
      <c r="I855" s="15"/>
      <c r="J855" s="7"/>
      <c r="K855" s="19"/>
      <c r="L855" s="19"/>
      <c r="M855" s="24"/>
      <c r="N855" s="24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13"/>
      <c r="I856" s="15"/>
      <c r="J856" s="7"/>
      <c r="K856" s="19"/>
      <c r="L856" s="19"/>
      <c r="M856" s="24"/>
      <c r="N856" s="24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13"/>
      <c r="I857" s="15"/>
      <c r="J857" s="7"/>
      <c r="K857" s="19"/>
      <c r="L857" s="19"/>
      <c r="M857" s="24"/>
      <c r="N857" s="24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13"/>
      <c r="I858" s="15"/>
      <c r="J858" s="7"/>
      <c r="K858" s="19"/>
      <c r="L858" s="19"/>
      <c r="M858" s="24"/>
      <c r="N858" s="24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13"/>
      <c r="I859" s="15"/>
      <c r="J859" s="7"/>
      <c r="K859" s="19"/>
      <c r="L859" s="19"/>
      <c r="M859" s="24"/>
      <c r="N859" s="24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13"/>
      <c r="I860" s="15"/>
      <c r="J860" s="7"/>
      <c r="K860" s="19"/>
      <c r="L860" s="19"/>
      <c r="M860" s="24"/>
      <c r="N860" s="24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13"/>
      <c r="I861" s="15"/>
      <c r="J861" s="7"/>
      <c r="K861" s="19"/>
      <c r="L861" s="19"/>
      <c r="M861" s="24"/>
      <c r="N861" s="24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13"/>
      <c r="I862" s="15"/>
      <c r="J862" s="7"/>
      <c r="K862" s="19"/>
      <c r="L862" s="19"/>
      <c r="M862" s="24"/>
      <c r="N862" s="24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13"/>
      <c r="I863" s="15"/>
      <c r="J863" s="7"/>
      <c r="K863" s="19"/>
      <c r="L863" s="19"/>
      <c r="M863" s="24"/>
      <c r="N863" s="24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13"/>
      <c r="I864" s="15"/>
      <c r="J864" s="7"/>
      <c r="K864" s="19"/>
      <c r="L864" s="19"/>
      <c r="M864" s="24"/>
      <c r="N864" s="24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13"/>
      <c r="I865" s="15"/>
      <c r="J865" s="7"/>
      <c r="K865" s="19"/>
      <c r="L865" s="19"/>
      <c r="M865" s="24"/>
      <c r="N865" s="24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13"/>
      <c r="I866" s="15"/>
      <c r="J866" s="7"/>
      <c r="K866" s="19"/>
      <c r="L866" s="19"/>
      <c r="M866" s="24"/>
      <c r="N866" s="24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13"/>
      <c r="I867" s="15"/>
      <c r="J867" s="7"/>
      <c r="K867" s="19"/>
      <c r="L867" s="19"/>
      <c r="M867" s="24"/>
      <c r="N867" s="24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13"/>
      <c r="I868" s="15"/>
      <c r="J868" s="7"/>
      <c r="K868" s="19"/>
      <c r="L868" s="19"/>
      <c r="M868" s="24"/>
      <c r="N868" s="24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13"/>
      <c r="I869" s="15"/>
      <c r="J869" s="7"/>
      <c r="K869" s="19"/>
      <c r="L869" s="19"/>
      <c r="M869" s="24"/>
      <c r="N869" s="24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13"/>
      <c r="I870" s="15"/>
      <c r="J870" s="7"/>
      <c r="K870" s="19"/>
      <c r="L870" s="19"/>
      <c r="M870" s="24"/>
      <c r="N870" s="24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13"/>
      <c r="I871" s="15"/>
      <c r="J871" s="7"/>
      <c r="K871" s="19"/>
      <c r="L871" s="19"/>
      <c r="M871" s="24"/>
      <c r="N871" s="24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13"/>
      <c r="I872" s="15"/>
      <c r="J872" s="7"/>
      <c r="K872" s="19"/>
      <c r="L872" s="19"/>
      <c r="M872" s="24"/>
      <c r="N872" s="24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13"/>
      <c r="I873" s="15"/>
      <c r="J873" s="7"/>
      <c r="K873" s="19"/>
      <c r="L873" s="19"/>
      <c r="M873" s="24"/>
      <c r="N873" s="24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13"/>
      <c r="I874" s="15"/>
      <c r="J874" s="7"/>
      <c r="K874" s="19"/>
      <c r="L874" s="19"/>
      <c r="M874" s="24"/>
      <c r="N874" s="24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13"/>
      <c r="I875" s="15"/>
      <c r="J875" s="7"/>
      <c r="K875" s="19"/>
      <c r="L875" s="19"/>
      <c r="M875" s="24"/>
      <c r="N875" s="24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13"/>
      <c r="I876" s="15"/>
      <c r="J876" s="7"/>
      <c r="K876" s="19"/>
      <c r="L876" s="19"/>
      <c r="M876" s="24"/>
      <c r="N876" s="24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13"/>
      <c r="I877" s="15"/>
      <c r="J877" s="7"/>
      <c r="K877" s="19"/>
      <c r="L877" s="19"/>
      <c r="M877" s="24"/>
      <c r="N877" s="24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13"/>
      <c r="I878" s="15"/>
      <c r="J878" s="7"/>
      <c r="K878" s="19"/>
      <c r="L878" s="19"/>
      <c r="M878" s="24"/>
      <c r="N878" s="24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13"/>
      <c r="I879" s="15"/>
      <c r="J879" s="7"/>
      <c r="K879" s="19"/>
      <c r="L879" s="19"/>
      <c r="M879" s="24"/>
      <c r="N879" s="24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13"/>
      <c r="I880" s="15"/>
      <c r="J880" s="7"/>
      <c r="K880" s="19"/>
      <c r="L880" s="19"/>
      <c r="M880" s="24"/>
      <c r="N880" s="24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13"/>
      <c r="I881" s="15"/>
      <c r="J881" s="7"/>
      <c r="K881" s="19"/>
      <c r="L881" s="19"/>
      <c r="M881" s="24"/>
      <c r="N881" s="24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13"/>
      <c r="I882" s="15"/>
      <c r="J882" s="7"/>
      <c r="K882" s="19"/>
      <c r="L882" s="19"/>
      <c r="M882" s="24"/>
      <c r="N882" s="24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13"/>
      <c r="I883" s="15"/>
      <c r="J883" s="7"/>
      <c r="K883" s="19"/>
      <c r="L883" s="19"/>
      <c r="M883" s="24"/>
      <c r="N883" s="24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13"/>
      <c r="I884" s="15"/>
      <c r="J884" s="7"/>
      <c r="K884" s="19"/>
      <c r="L884" s="19"/>
      <c r="M884" s="24"/>
      <c r="N884" s="24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13"/>
      <c r="I885" s="15"/>
      <c r="J885" s="7"/>
      <c r="K885" s="19"/>
      <c r="L885" s="19"/>
      <c r="M885" s="24"/>
      <c r="N885" s="24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13"/>
      <c r="I886" s="15"/>
      <c r="J886" s="7"/>
      <c r="K886" s="19"/>
      <c r="L886" s="19"/>
      <c r="M886" s="24"/>
      <c r="N886" s="24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13"/>
      <c r="I887" s="15"/>
      <c r="J887" s="7"/>
      <c r="K887" s="19"/>
      <c r="L887" s="19"/>
      <c r="M887" s="24"/>
      <c r="N887" s="24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13"/>
      <c r="I888" s="15"/>
      <c r="J888" s="7"/>
      <c r="K888" s="19"/>
      <c r="L888" s="19"/>
      <c r="M888" s="24"/>
      <c r="N888" s="24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13"/>
      <c r="I889" s="15"/>
      <c r="J889" s="7"/>
      <c r="K889" s="19"/>
      <c r="L889" s="19"/>
      <c r="M889" s="24"/>
      <c r="N889" s="24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13"/>
      <c r="I890" s="15"/>
      <c r="J890" s="7"/>
      <c r="K890" s="19"/>
      <c r="L890" s="19"/>
      <c r="M890" s="24"/>
      <c r="N890" s="24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13"/>
      <c r="I891" s="15"/>
      <c r="J891" s="7"/>
      <c r="K891" s="19"/>
      <c r="L891" s="19"/>
      <c r="M891" s="24"/>
      <c r="N891" s="24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13"/>
      <c r="I892" s="15"/>
      <c r="J892" s="7"/>
      <c r="K892" s="19"/>
      <c r="L892" s="19"/>
      <c r="M892" s="24"/>
      <c r="N892" s="24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13"/>
      <c r="I893" s="15"/>
      <c r="J893" s="7"/>
      <c r="K893" s="19"/>
      <c r="L893" s="19"/>
      <c r="M893" s="24"/>
      <c r="N893" s="24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13"/>
      <c r="I894" s="15"/>
      <c r="J894" s="7"/>
      <c r="K894" s="19"/>
      <c r="L894" s="19"/>
      <c r="M894" s="24"/>
      <c r="N894" s="24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13"/>
      <c r="I895" s="15"/>
      <c r="J895" s="7"/>
      <c r="K895" s="19"/>
      <c r="L895" s="19"/>
      <c r="M895" s="24"/>
      <c r="N895" s="24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13"/>
      <c r="I896" s="15"/>
      <c r="J896" s="7"/>
      <c r="K896" s="19"/>
      <c r="L896" s="19"/>
      <c r="M896" s="24"/>
      <c r="N896" s="24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13"/>
      <c r="I897" s="15"/>
      <c r="J897" s="7"/>
      <c r="K897" s="19"/>
      <c r="L897" s="19"/>
      <c r="M897" s="24"/>
      <c r="N897" s="24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13"/>
      <c r="I898" s="15"/>
      <c r="J898" s="7"/>
      <c r="K898" s="19"/>
      <c r="L898" s="19"/>
      <c r="M898" s="24"/>
      <c r="N898" s="24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13"/>
      <c r="I899" s="15"/>
      <c r="J899" s="7"/>
      <c r="K899" s="19"/>
      <c r="L899" s="19"/>
      <c r="M899" s="24"/>
      <c r="N899" s="24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13"/>
      <c r="I900" s="15"/>
      <c r="J900" s="7"/>
      <c r="K900" s="19"/>
      <c r="L900" s="19"/>
      <c r="M900" s="24"/>
      <c r="N900" s="24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13"/>
      <c r="I901" s="15"/>
      <c r="J901" s="7"/>
      <c r="K901" s="19"/>
      <c r="L901" s="19"/>
      <c r="M901" s="24"/>
      <c r="N901" s="24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13"/>
      <c r="I902" s="15"/>
      <c r="J902" s="7"/>
      <c r="K902" s="19"/>
      <c r="L902" s="19"/>
      <c r="M902" s="24"/>
      <c r="N902" s="24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13"/>
      <c r="I903" s="15"/>
      <c r="J903" s="7"/>
      <c r="K903" s="19"/>
      <c r="L903" s="19"/>
      <c r="M903" s="24"/>
      <c r="N903" s="24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13"/>
      <c r="I904" s="15"/>
      <c r="J904" s="7"/>
      <c r="K904" s="19"/>
      <c r="L904" s="19"/>
      <c r="M904" s="24"/>
      <c r="N904" s="24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13"/>
      <c r="I905" s="15"/>
      <c r="J905" s="7"/>
      <c r="K905" s="19"/>
      <c r="L905" s="19"/>
      <c r="M905" s="24"/>
      <c r="N905" s="24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13"/>
      <c r="I906" s="15"/>
      <c r="J906" s="7"/>
      <c r="K906" s="19"/>
      <c r="L906" s="19"/>
      <c r="M906" s="24"/>
      <c r="N906" s="24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13"/>
      <c r="I907" s="15"/>
      <c r="J907" s="7"/>
      <c r="K907" s="19"/>
      <c r="L907" s="19"/>
      <c r="M907" s="24"/>
      <c r="N907" s="24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13"/>
      <c r="I908" s="15"/>
      <c r="J908" s="7"/>
      <c r="K908" s="19"/>
      <c r="L908" s="19"/>
      <c r="M908" s="24"/>
      <c r="N908" s="24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13"/>
      <c r="I909" s="15"/>
      <c r="J909" s="7"/>
      <c r="K909" s="19"/>
      <c r="L909" s="19"/>
      <c r="M909" s="24"/>
      <c r="N909" s="24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13"/>
      <c r="I910" s="15"/>
      <c r="J910" s="7"/>
      <c r="K910" s="19"/>
      <c r="L910" s="19"/>
      <c r="M910" s="24"/>
      <c r="N910" s="24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13"/>
      <c r="I911" s="15"/>
      <c r="J911" s="7"/>
      <c r="K911" s="19"/>
      <c r="L911" s="19"/>
      <c r="M911" s="24"/>
      <c r="N911" s="24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13"/>
      <c r="I912" s="15"/>
      <c r="J912" s="7"/>
      <c r="K912" s="19"/>
      <c r="L912" s="19"/>
      <c r="M912" s="24"/>
      <c r="N912" s="24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13"/>
      <c r="I913" s="15"/>
      <c r="J913" s="7"/>
      <c r="K913" s="19"/>
      <c r="L913" s="19"/>
      <c r="M913" s="24"/>
      <c r="N913" s="24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13"/>
      <c r="I914" s="15"/>
      <c r="J914" s="7"/>
      <c r="K914" s="19"/>
      <c r="L914" s="19"/>
      <c r="M914" s="24"/>
      <c r="N914" s="24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13"/>
      <c r="I915" s="15"/>
      <c r="J915" s="7"/>
      <c r="K915" s="19"/>
      <c r="L915" s="19"/>
      <c r="M915" s="24"/>
      <c r="N915" s="24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13"/>
      <c r="I916" s="15"/>
      <c r="J916" s="7"/>
      <c r="K916" s="19"/>
      <c r="L916" s="19"/>
      <c r="M916" s="24"/>
      <c r="N916" s="24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13"/>
      <c r="I917" s="15"/>
      <c r="J917" s="7"/>
      <c r="K917" s="19"/>
      <c r="L917" s="19"/>
      <c r="M917" s="24"/>
      <c r="N917" s="24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13"/>
      <c r="I918" s="15"/>
      <c r="J918" s="7"/>
      <c r="K918" s="19"/>
      <c r="L918" s="19"/>
      <c r="M918" s="24"/>
      <c r="N918" s="24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13"/>
      <c r="I919" s="15"/>
      <c r="J919" s="7"/>
      <c r="K919" s="19"/>
      <c r="L919" s="19"/>
      <c r="M919" s="24"/>
      <c r="N919" s="24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13"/>
      <c r="I920" s="15"/>
      <c r="J920" s="7"/>
      <c r="K920" s="19"/>
      <c r="L920" s="19"/>
      <c r="M920" s="24"/>
      <c r="N920" s="24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13"/>
      <c r="I921" s="15"/>
      <c r="J921" s="7"/>
      <c r="K921" s="19"/>
      <c r="L921" s="19"/>
      <c r="M921" s="24"/>
      <c r="N921" s="24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13"/>
      <c r="I922" s="15"/>
      <c r="J922" s="7"/>
      <c r="K922" s="19"/>
      <c r="L922" s="19"/>
      <c r="M922" s="24"/>
      <c r="N922" s="24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13"/>
      <c r="I923" s="15"/>
      <c r="J923" s="7"/>
      <c r="K923" s="19"/>
      <c r="L923" s="19"/>
      <c r="M923" s="24"/>
      <c r="N923" s="24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13"/>
      <c r="I924" s="15"/>
      <c r="J924" s="7"/>
      <c r="K924" s="19"/>
      <c r="L924" s="19"/>
      <c r="M924" s="24"/>
      <c r="N924" s="24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13"/>
      <c r="I925" s="15"/>
      <c r="J925" s="7"/>
      <c r="K925" s="19"/>
      <c r="L925" s="19"/>
      <c r="M925" s="24"/>
      <c r="N925" s="24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13"/>
      <c r="I926" s="15"/>
      <c r="J926" s="7"/>
      <c r="K926" s="19"/>
      <c r="L926" s="19"/>
      <c r="M926" s="24"/>
      <c r="N926" s="24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13"/>
      <c r="I927" s="15"/>
      <c r="J927" s="7"/>
      <c r="K927" s="19"/>
      <c r="L927" s="19"/>
      <c r="M927" s="24"/>
      <c r="N927" s="24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13"/>
      <c r="I928" s="15"/>
      <c r="J928" s="7"/>
      <c r="K928" s="19"/>
      <c r="L928" s="19"/>
      <c r="M928" s="24"/>
      <c r="N928" s="24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13"/>
      <c r="I929" s="15"/>
      <c r="J929" s="7"/>
      <c r="K929" s="19"/>
      <c r="L929" s="19"/>
      <c r="M929" s="24"/>
      <c r="N929" s="24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13"/>
      <c r="I930" s="15"/>
      <c r="J930" s="7"/>
      <c r="K930" s="19"/>
      <c r="L930" s="19"/>
      <c r="M930" s="24"/>
      <c r="N930" s="24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13"/>
      <c r="I931" s="15"/>
      <c r="J931" s="7"/>
      <c r="K931" s="19"/>
      <c r="L931" s="19"/>
      <c r="M931" s="24"/>
      <c r="N931" s="24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13"/>
      <c r="I932" s="15"/>
      <c r="J932" s="7"/>
      <c r="K932" s="19"/>
      <c r="L932" s="19"/>
      <c r="M932" s="24"/>
      <c r="N932" s="24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13"/>
      <c r="I933" s="15"/>
      <c r="J933" s="7"/>
      <c r="K933" s="19"/>
      <c r="L933" s="19"/>
      <c r="M933" s="24"/>
      <c r="N933" s="24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13"/>
      <c r="I934" s="15"/>
      <c r="J934" s="7"/>
      <c r="K934" s="19"/>
      <c r="L934" s="19"/>
      <c r="M934" s="24"/>
      <c r="N934" s="24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13"/>
      <c r="I935" s="15"/>
      <c r="J935" s="7"/>
      <c r="K935" s="19"/>
      <c r="L935" s="19"/>
      <c r="M935" s="24"/>
      <c r="N935" s="24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13"/>
      <c r="I936" s="15"/>
      <c r="J936" s="7"/>
      <c r="K936" s="19"/>
      <c r="L936" s="19"/>
      <c r="M936" s="24"/>
      <c r="N936" s="24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13"/>
      <c r="I937" s="15"/>
      <c r="J937" s="7"/>
      <c r="K937" s="19"/>
      <c r="L937" s="19"/>
      <c r="M937" s="24"/>
      <c r="N937" s="24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13"/>
      <c r="I938" s="15"/>
      <c r="J938" s="7"/>
      <c r="K938" s="19"/>
      <c r="L938" s="19"/>
      <c r="M938" s="24"/>
      <c r="N938" s="24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13"/>
      <c r="I939" s="15"/>
      <c r="J939" s="7"/>
      <c r="K939" s="19"/>
      <c r="L939" s="19"/>
      <c r="M939" s="24"/>
      <c r="N939" s="24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13"/>
      <c r="I940" s="15"/>
      <c r="J940" s="7"/>
      <c r="K940" s="19"/>
      <c r="L940" s="19"/>
      <c r="M940" s="24"/>
      <c r="N940" s="24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13"/>
      <c r="I941" s="15"/>
      <c r="J941" s="7"/>
      <c r="K941" s="19"/>
      <c r="L941" s="19"/>
      <c r="M941" s="24"/>
      <c r="N941" s="24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13"/>
      <c r="I942" s="15"/>
      <c r="J942" s="7"/>
      <c r="K942" s="19"/>
      <c r="L942" s="19"/>
      <c r="M942" s="24"/>
      <c r="N942" s="24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13"/>
      <c r="I943" s="15"/>
      <c r="J943" s="7"/>
      <c r="K943" s="19"/>
      <c r="L943" s="19"/>
      <c r="M943" s="24"/>
      <c r="N943" s="24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13"/>
      <c r="I944" s="15"/>
      <c r="J944" s="7"/>
      <c r="K944" s="19"/>
      <c r="L944" s="19"/>
      <c r="M944" s="24"/>
      <c r="N944" s="24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13"/>
      <c r="I945" s="15"/>
      <c r="J945" s="7"/>
      <c r="K945" s="19"/>
      <c r="L945" s="19"/>
      <c r="M945" s="24"/>
      <c r="N945" s="24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13"/>
      <c r="I946" s="15"/>
      <c r="J946" s="7"/>
      <c r="K946" s="19"/>
      <c r="L946" s="19"/>
      <c r="M946" s="24"/>
      <c r="N946" s="24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13"/>
      <c r="I947" s="15"/>
      <c r="J947" s="7"/>
      <c r="K947" s="19"/>
      <c r="L947" s="19"/>
      <c r="M947" s="24"/>
      <c r="N947" s="24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13"/>
      <c r="I948" s="15"/>
      <c r="J948" s="7"/>
      <c r="K948" s="19"/>
      <c r="L948" s="19"/>
      <c r="M948" s="24"/>
      <c r="N948" s="24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13"/>
      <c r="I949" s="15"/>
      <c r="J949" s="7"/>
      <c r="K949" s="19"/>
      <c r="L949" s="19"/>
      <c r="M949" s="24"/>
      <c r="N949" s="24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13"/>
      <c r="I950" s="15"/>
      <c r="J950" s="7"/>
      <c r="K950" s="19"/>
      <c r="L950" s="19"/>
      <c r="M950" s="24"/>
      <c r="N950" s="24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13"/>
      <c r="I951" s="15"/>
      <c r="J951" s="7"/>
      <c r="K951" s="19"/>
      <c r="L951" s="19"/>
      <c r="M951" s="24"/>
      <c r="N951" s="24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13"/>
      <c r="I952" s="15"/>
      <c r="J952" s="7"/>
      <c r="K952" s="19"/>
      <c r="L952" s="19"/>
      <c r="M952" s="24"/>
      <c r="N952" s="24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13"/>
      <c r="I953" s="15"/>
      <c r="J953" s="7"/>
      <c r="K953" s="19"/>
      <c r="L953" s="19"/>
      <c r="M953" s="24"/>
      <c r="N953" s="24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13"/>
      <c r="I954" s="15"/>
      <c r="J954" s="7"/>
      <c r="K954" s="19"/>
      <c r="L954" s="19"/>
      <c r="M954" s="24"/>
      <c r="N954" s="24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13"/>
      <c r="I955" s="15"/>
      <c r="J955" s="7"/>
      <c r="K955" s="19"/>
      <c r="L955" s="19"/>
      <c r="M955" s="24"/>
      <c r="N955" s="24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13"/>
      <c r="I956" s="15"/>
      <c r="J956" s="7"/>
      <c r="K956" s="19"/>
      <c r="L956" s="19"/>
      <c r="M956" s="24"/>
      <c r="N956" s="24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13"/>
      <c r="I957" s="15"/>
      <c r="J957" s="7"/>
      <c r="K957" s="19"/>
      <c r="L957" s="19"/>
      <c r="M957" s="24"/>
      <c r="N957" s="24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13"/>
      <c r="I958" s="15"/>
      <c r="J958" s="7"/>
      <c r="K958" s="19"/>
      <c r="L958" s="19"/>
      <c r="M958" s="24"/>
      <c r="N958" s="24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13"/>
      <c r="I959" s="15"/>
      <c r="J959" s="7"/>
      <c r="K959" s="19"/>
      <c r="L959" s="19"/>
      <c r="M959" s="24"/>
      <c r="N959" s="24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13"/>
      <c r="I960" s="15"/>
      <c r="J960" s="7"/>
      <c r="K960" s="19"/>
      <c r="L960" s="19"/>
      <c r="M960" s="24"/>
      <c r="N960" s="24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13"/>
      <c r="I961" s="15"/>
      <c r="J961" s="7"/>
      <c r="K961" s="19"/>
      <c r="L961" s="19"/>
      <c r="M961" s="24"/>
      <c r="N961" s="24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13"/>
      <c r="I962" s="15"/>
      <c r="J962" s="7"/>
      <c r="K962" s="19"/>
      <c r="L962" s="19"/>
      <c r="M962" s="24"/>
      <c r="N962" s="24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13"/>
      <c r="I963" s="15"/>
      <c r="J963" s="7"/>
      <c r="K963" s="19"/>
      <c r="L963" s="19"/>
      <c r="M963" s="24"/>
      <c r="N963" s="24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13"/>
      <c r="I964" s="15"/>
      <c r="J964" s="7"/>
      <c r="K964" s="19"/>
      <c r="L964" s="19"/>
      <c r="M964" s="24"/>
      <c r="N964" s="24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13"/>
      <c r="I965" s="15"/>
      <c r="J965" s="7"/>
      <c r="K965" s="19"/>
      <c r="L965" s="19"/>
      <c r="M965" s="24"/>
      <c r="N965" s="24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13"/>
      <c r="I966" s="15"/>
      <c r="J966" s="7"/>
      <c r="K966" s="19"/>
      <c r="L966" s="19"/>
      <c r="M966" s="24"/>
      <c r="N966" s="24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13"/>
      <c r="I967" s="15"/>
      <c r="J967" s="7"/>
      <c r="K967" s="19"/>
      <c r="L967" s="19"/>
      <c r="M967" s="24"/>
      <c r="N967" s="24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13"/>
      <c r="I968" s="15"/>
      <c r="J968" s="7"/>
      <c r="K968" s="19"/>
      <c r="L968" s="19"/>
      <c r="M968" s="24"/>
      <c r="N968" s="24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13"/>
      <c r="I969" s="15"/>
      <c r="J969" s="7"/>
      <c r="K969" s="19"/>
      <c r="L969" s="19"/>
      <c r="M969" s="24"/>
      <c r="N969" s="24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13"/>
      <c r="I970" s="15"/>
      <c r="J970" s="7"/>
      <c r="K970" s="19"/>
      <c r="L970" s="19"/>
      <c r="M970" s="24"/>
      <c r="N970" s="24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13"/>
      <c r="I971" s="15"/>
      <c r="J971" s="7"/>
      <c r="K971" s="19"/>
      <c r="L971" s="19"/>
      <c r="M971" s="24"/>
      <c r="N971" s="24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13"/>
      <c r="I972" s="15"/>
      <c r="J972" s="7"/>
      <c r="K972" s="19"/>
      <c r="L972" s="19"/>
      <c r="M972" s="24"/>
      <c r="N972" s="24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13"/>
      <c r="I973" s="15"/>
      <c r="J973" s="7"/>
      <c r="K973" s="19"/>
      <c r="L973" s="19"/>
      <c r="M973" s="24"/>
      <c r="N973" s="24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13"/>
      <c r="I974" s="15"/>
      <c r="J974" s="7"/>
      <c r="K974" s="19"/>
      <c r="L974" s="19"/>
      <c r="M974" s="24"/>
      <c r="N974" s="24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13"/>
      <c r="I975" s="15"/>
      <c r="J975" s="7"/>
      <c r="K975" s="19"/>
      <c r="L975" s="19"/>
      <c r="M975" s="24"/>
      <c r="N975" s="24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13"/>
      <c r="I976" s="15"/>
      <c r="J976" s="7"/>
      <c r="K976" s="19"/>
      <c r="L976" s="19"/>
      <c r="M976" s="24"/>
      <c r="N976" s="24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13"/>
      <c r="I977" s="15"/>
      <c r="J977" s="7"/>
      <c r="K977" s="19"/>
      <c r="L977" s="19"/>
      <c r="M977" s="24"/>
      <c r="N977" s="24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13"/>
      <c r="I978" s="15"/>
      <c r="J978" s="7"/>
      <c r="K978" s="19"/>
      <c r="L978" s="19"/>
      <c r="M978" s="24"/>
      <c r="N978" s="24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13"/>
      <c r="I979" s="15"/>
      <c r="J979" s="7"/>
      <c r="K979" s="19"/>
      <c r="L979" s="19"/>
      <c r="M979" s="24"/>
      <c r="N979" s="24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13"/>
      <c r="I980" s="15"/>
      <c r="J980" s="7"/>
      <c r="K980" s="19"/>
      <c r="L980" s="19"/>
      <c r="M980" s="24"/>
      <c r="N980" s="24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13"/>
      <c r="I981" s="15"/>
      <c r="J981" s="7"/>
      <c r="K981" s="19"/>
      <c r="L981" s="19"/>
      <c r="M981" s="24"/>
      <c r="N981" s="24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13"/>
      <c r="I982" s="15"/>
      <c r="J982" s="7"/>
      <c r="K982" s="19"/>
      <c r="L982" s="19"/>
      <c r="M982" s="24"/>
      <c r="N982" s="24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13"/>
      <c r="I983" s="15"/>
      <c r="J983" s="7"/>
      <c r="K983" s="19"/>
      <c r="L983" s="19"/>
      <c r="M983" s="24"/>
      <c r="N983" s="24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13"/>
      <c r="I984" s="15"/>
      <c r="J984" s="7"/>
      <c r="K984" s="19"/>
      <c r="L984" s="19"/>
      <c r="M984" s="24"/>
      <c r="N984" s="24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13"/>
      <c r="I985" s="15"/>
      <c r="J985" s="7"/>
      <c r="K985" s="19"/>
      <c r="L985" s="19"/>
      <c r="M985" s="24"/>
      <c r="N985" s="24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13"/>
      <c r="I986" s="15"/>
      <c r="J986" s="7"/>
      <c r="K986" s="19"/>
      <c r="L986" s="19"/>
      <c r="M986" s="24"/>
      <c r="N986" s="24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13"/>
      <c r="I987" s="15"/>
      <c r="J987" s="7"/>
      <c r="K987" s="19"/>
      <c r="L987" s="19"/>
      <c r="M987" s="24"/>
      <c r="N987" s="24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13"/>
      <c r="I988" s="15"/>
      <c r="J988" s="7"/>
      <c r="K988" s="19"/>
      <c r="L988" s="19"/>
      <c r="M988" s="24"/>
      <c r="N988" s="24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13"/>
      <c r="I989" s="15"/>
      <c r="J989" s="7"/>
      <c r="K989" s="19"/>
      <c r="L989" s="19"/>
      <c r="M989" s="24"/>
      <c r="N989" s="24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13"/>
      <c r="I990" s="15"/>
      <c r="J990" s="7"/>
      <c r="K990" s="19"/>
      <c r="L990" s="19"/>
      <c r="M990" s="24"/>
      <c r="N990" s="24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13"/>
      <c r="I991" s="15"/>
      <c r="J991" s="7"/>
      <c r="K991" s="19"/>
      <c r="L991" s="19"/>
      <c r="M991" s="24"/>
      <c r="N991" s="24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13"/>
      <c r="I992" s="15"/>
      <c r="J992" s="7"/>
      <c r="K992" s="19"/>
      <c r="L992" s="19"/>
      <c r="M992" s="24"/>
      <c r="N992" s="24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13"/>
      <c r="I993" s="15"/>
      <c r="J993" s="7"/>
      <c r="K993" s="19"/>
      <c r="L993" s="19"/>
      <c r="M993" s="24"/>
      <c r="N993" s="24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13"/>
      <c r="I994" s="15"/>
      <c r="J994" s="7"/>
      <c r="K994" s="19"/>
      <c r="L994" s="19"/>
      <c r="M994" s="24"/>
      <c r="N994" s="24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13"/>
      <c r="I995" s="15"/>
      <c r="J995" s="7"/>
      <c r="K995" s="19"/>
      <c r="L995" s="19"/>
      <c r="M995" s="24"/>
      <c r="N995" s="24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13"/>
      <c r="I996" s="15"/>
      <c r="J996" s="7"/>
      <c r="K996" s="19"/>
      <c r="L996" s="19"/>
      <c r="M996" s="24"/>
      <c r="N996" s="24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13"/>
      <c r="I997" s="15"/>
      <c r="J997" s="7"/>
      <c r="K997" s="19"/>
      <c r="L997" s="19"/>
      <c r="M997" s="24"/>
      <c r="N997" s="24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13"/>
      <c r="I998" s="15"/>
      <c r="J998" s="7"/>
      <c r="K998" s="19"/>
      <c r="L998" s="19"/>
      <c r="M998" s="24"/>
      <c r="N998" s="24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13"/>
      <c r="I999" s="15"/>
      <c r="J999" s="7"/>
      <c r="K999" s="19"/>
      <c r="L999" s="19"/>
      <c r="M999" s="24"/>
      <c r="N999" s="24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13"/>
      <c r="I1000" s="15"/>
      <c r="J1000" s="7"/>
      <c r="K1000" s="19"/>
      <c r="L1000" s="19"/>
      <c r="M1000" s="24"/>
      <c r="N1000" s="24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0">
    <mergeCell ref="I6:J6"/>
    <mergeCell ref="K6:N6"/>
    <mergeCell ref="B2:N3"/>
    <mergeCell ref="B5:D5"/>
    <mergeCell ref="E5:F5"/>
    <mergeCell ref="I5:J5"/>
    <mergeCell ref="K5:N5"/>
    <mergeCell ref="B6:D6"/>
    <mergeCell ref="E6:F6"/>
    <mergeCell ref="B17:E17"/>
  </mergeCells>
  <dataValidations>
    <dataValidation type="list" allowBlank="1" showErrorMessage="1" sqref="F9:F16">
      <formula1>$R$3:$R$5</formula1>
    </dataValidation>
    <dataValidation type="list" allowBlank="1" showErrorMessage="1" sqref="M9:M16">
      <formula1>$Q$3:$Q$6</formula1>
    </dataValidation>
    <dataValidation type="list" allowBlank="1" showErrorMessage="1" sqref="G9:G16">
      <formula1>$P$3:$P$6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7.86"/>
    <col customWidth="1" min="7" max="7" width="28.14"/>
    <col customWidth="1" min="8" max="8" width="33.43"/>
    <col customWidth="1" min="9" max="9" width="37.57"/>
    <col customWidth="1" min="10" max="10" width="23.14"/>
    <col customWidth="1" min="11" max="11" width="29.57"/>
    <col customWidth="1" min="12" max="12" width="30.57"/>
    <col customWidth="1" min="13" max="14" width="18.86"/>
    <col customWidth="1" min="15" max="15" width="9.14"/>
    <col customWidth="1" min="16" max="16" width="12.43"/>
    <col customWidth="1" min="17" max="26" width="9.14"/>
  </cols>
  <sheetData>
    <row r="1">
      <c r="A1" s="3"/>
      <c r="B1" s="9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7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"/>
      <c r="B2" s="26"/>
      <c r="N2" s="29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"/>
      <c r="B3" s="26"/>
      <c r="N3" s="29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"/>
      <c r="B4" s="26"/>
      <c r="N4" s="29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"/>
      <c r="B5" s="26"/>
      <c r="N5" s="29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"/>
      <c r="B6" s="35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42"/>
      <c r="O6" s="20"/>
      <c r="P6" s="45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3"/>
      <c r="B7" s="48"/>
      <c r="C7" s="52"/>
      <c r="D7" s="52"/>
      <c r="E7" s="52"/>
      <c r="F7" s="52"/>
      <c r="G7" s="52"/>
      <c r="H7" s="54"/>
      <c r="I7" s="52"/>
      <c r="J7" s="52"/>
      <c r="K7" s="48"/>
      <c r="L7" s="48"/>
      <c r="M7" s="20"/>
      <c r="N7" s="20"/>
      <c r="O7" s="20"/>
      <c r="P7" s="45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62"/>
      <c r="B8" s="66" t="s">
        <v>16</v>
      </c>
      <c r="C8" s="66" t="s">
        <v>23</v>
      </c>
      <c r="D8" s="66" t="s">
        <v>24</v>
      </c>
      <c r="E8" s="66" t="s">
        <v>25</v>
      </c>
      <c r="F8" s="66" t="s">
        <v>26</v>
      </c>
      <c r="G8" s="66" t="s">
        <v>27</v>
      </c>
      <c r="H8" s="66" t="s">
        <v>28</v>
      </c>
      <c r="I8" s="66" t="s">
        <v>29</v>
      </c>
      <c r="J8" s="66" t="s">
        <v>32</v>
      </c>
      <c r="K8" s="66" t="s">
        <v>34</v>
      </c>
      <c r="L8" s="66" t="s">
        <v>36</v>
      </c>
      <c r="M8" s="66" t="s">
        <v>37</v>
      </c>
      <c r="N8" s="66" t="s">
        <v>38</v>
      </c>
      <c r="O8" s="6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3"/>
      <c r="B9" s="76"/>
      <c r="C9" s="57"/>
      <c r="D9" s="57"/>
      <c r="E9" s="57"/>
      <c r="F9" s="79"/>
      <c r="G9" s="83"/>
      <c r="H9" s="83"/>
      <c r="I9" s="83"/>
      <c r="J9" s="83"/>
      <c r="K9" s="83"/>
      <c r="L9" s="83"/>
      <c r="M9" s="83"/>
      <c r="N9" s="88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86.75" customHeight="1">
      <c r="A10" s="3"/>
      <c r="B10" s="92" t="s">
        <v>3</v>
      </c>
      <c r="C10" s="92" t="s">
        <v>51</v>
      </c>
      <c r="D10" s="96">
        <v>14.0</v>
      </c>
      <c r="E10" s="97" t="s">
        <v>53</v>
      </c>
      <c r="F10" s="92" t="s">
        <v>54</v>
      </c>
      <c r="G10" s="103" t="s">
        <v>22</v>
      </c>
      <c r="H10" s="92" t="s">
        <v>57</v>
      </c>
      <c r="I10" s="92" t="s">
        <v>58</v>
      </c>
      <c r="J10" s="105" t="s">
        <v>62</v>
      </c>
      <c r="K10" s="107">
        <v>45649.0</v>
      </c>
      <c r="L10" s="96" t="s">
        <v>63</v>
      </c>
      <c r="M10" s="96" t="s">
        <v>64</v>
      </c>
      <c r="N10" s="11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86.75" customHeight="1">
      <c r="A11" s="3"/>
      <c r="B11" s="92" t="s">
        <v>3</v>
      </c>
      <c r="C11" s="92" t="s">
        <v>51</v>
      </c>
      <c r="D11" s="96">
        <v>14.0</v>
      </c>
      <c r="E11" s="97" t="s">
        <v>68</v>
      </c>
      <c r="F11" s="92" t="s">
        <v>70</v>
      </c>
      <c r="G11" s="103" t="s">
        <v>22</v>
      </c>
      <c r="H11" s="92" t="s">
        <v>57</v>
      </c>
      <c r="I11" s="92" t="s">
        <v>58</v>
      </c>
      <c r="J11" s="105" t="s">
        <v>62</v>
      </c>
      <c r="K11" s="107">
        <v>45649.0</v>
      </c>
      <c r="L11" s="96" t="s">
        <v>63</v>
      </c>
      <c r="M11" s="96" t="s">
        <v>64</v>
      </c>
      <c r="N11" s="11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4.5" customHeight="1">
      <c r="A12" s="3"/>
      <c r="B12" s="92" t="s">
        <v>72</v>
      </c>
      <c r="C12" s="92" t="s">
        <v>51</v>
      </c>
      <c r="D12" s="96">
        <v>14.0</v>
      </c>
      <c r="E12" s="97" t="s">
        <v>73</v>
      </c>
      <c r="F12" s="92" t="s">
        <v>75</v>
      </c>
      <c r="G12" s="103" t="s">
        <v>22</v>
      </c>
      <c r="H12" s="92" t="s">
        <v>76</v>
      </c>
      <c r="I12" s="92" t="s">
        <v>58</v>
      </c>
      <c r="J12" s="105" t="s">
        <v>62</v>
      </c>
      <c r="K12" s="107">
        <v>45649.0</v>
      </c>
      <c r="L12" s="96" t="s">
        <v>63</v>
      </c>
      <c r="M12" s="96" t="s">
        <v>64</v>
      </c>
      <c r="N12" s="11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4.5" customHeight="1">
      <c r="A13" s="3"/>
      <c r="B13" s="92" t="s">
        <v>72</v>
      </c>
      <c r="C13" s="92" t="s">
        <v>51</v>
      </c>
      <c r="D13" s="96">
        <v>14.0</v>
      </c>
      <c r="E13" s="97" t="s">
        <v>81</v>
      </c>
      <c r="F13" s="92" t="s">
        <v>82</v>
      </c>
      <c r="G13" s="103" t="s">
        <v>22</v>
      </c>
      <c r="H13" s="92" t="s">
        <v>83</v>
      </c>
      <c r="I13" s="92" t="s">
        <v>58</v>
      </c>
      <c r="J13" s="105" t="s">
        <v>62</v>
      </c>
      <c r="K13" s="107">
        <v>45649.0</v>
      </c>
      <c r="L13" s="96" t="s">
        <v>63</v>
      </c>
      <c r="M13" s="96" t="s">
        <v>64</v>
      </c>
      <c r="N13" s="11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4.5" customHeight="1">
      <c r="A14" s="3"/>
      <c r="B14" s="92" t="s">
        <v>3</v>
      </c>
      <c r="C14" s="92" t="s">
        <v>51</v>
      </c>
      <c r="D14" s="96">
        <v>14.0</v>
      </c>
      <c r="E14" s="97" t="s">
        <v>87</v>
      </c>
      <c r="F14" s="130" t="s">
        <v>88</v>
      </c>
      <c r="G14" s="103" t="s">
        <v>22</v>
      </c>
      <c r="H14" s="130" t="s">
        <v>92</v>
      </c>
      <c r="I14" s="130" t="s">
        <v>93</v>
      </c>
      <c r="J14" s="105" t="s">
        <v>62</v>
      </c>
      <c r="K14" s="107">
        <v>45649.0</v>
      </c>
      <c r="L14" s="96" t="s">
        <v>63</v>
      </c>
      <c r="M14" s="96" t="s">
        <v>64</v>
      </c>
      <c r="N14" s="11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10.75" customHeight="1">
      <c r="A15" s="3"/>
      <c r="B15" s="92" t="s">
        <v>3</v>
      </c>
      <c r="C15" s="92" t="s">
        <v>51</v>
      </c>
      <c r="D15" s="96">
        <v>14.0</v>
      </c>
      <c r="E15" s="97" t="s">
        <v>97</v>
      </c>
      <c r="F15" s="92" t="s">
        <v>98</v>
      </c>
      <c r="G15" s="103" t="s">
        <v>22</v>
      </c>
      <c r="H15" s="130" t="s">
        <v>92</v>
      </c>
      <c r="I15" s="130" t="s">
        <v>58</v>
      </c>
      <c r="J15" s="105" t="s">
        <v>62</v>
      </c>
      <c r="K15" s="107">
        <v>45649.0</v>
      </c>
      <c r="L15" s="96" t="s">
        <v>63</v>
      </c>
      <c r="M15" s="96" t="s">
        <v>64</v>
      </c>
      <c r="N15" s="11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10.75" customHeight="1">
      <c r="A16" s="3"/>
      <c r="B16" s="92" t="s">
        <v>72</v>
      </c>
      <c r="C16" s="92" t="s">
        <v>51</v>
      </c>
      <c r="D16" s="96">
        <v>14.0</v>
      </c>
      <c r="E16" s="97" t="s">
        <v>103</v>
      </c>
      <c r="F16" s="92" t="s">
        <v>104</v>
      </c>
      <c r="G16" s="103" t="s">
        <v>22</v>
      </c>
      <c r="H16" s="92" t="s">
        <v>106</v>
      </c>
      <c r="I16" s="92" t="s">
        <v>58</v>
      </c>
      <c r="J16" s="105" t="s">
        <v>62</v>
      </c>
      <c r="K16" s="107">
        <v>45649.0</v>
      </c>
      <c r="L16" s="96" t="s">
        <v>63</v>
      </c>
      <c r="M16" s="96" t="s">
        <v>64</v>
      </c>
      <c r="N16" s="11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10.75" customHeight="1">
      <c r="A17" s="3"/>
      <c r="B17" s="92" t="s">
        <v>72</v>
      </c>
      <c r="C17" s="92" t="s">
        <v>51</v>
      </c>
      <c r="D17" s="96">
        <v>14.0</v>
      </c>
      <c r="E17" s="97" t="s">
        <v>109</v>
      </c>
      <c r="F17" s="138" t="s">
        <v>112</v>
      </c>
      <c r="G17" s="103" t="s">
        <v>22</v>
      </c>
      <c r="H17" s="92" t="s">
        <v>113</v>
      </c>
      <c r="I17" s="92" t="s">
        <v>58</v>
      </c>
      <c r="J17" s="105" t="s">
        <v>62</v>
      </c>
      <c r="K17" s="107">
        <v>45649.0</v>
      </c>
      <c r="L17" s="96" t="s">
        <v>63</v>
      </c>
      <c r="M17" s="96" t="s">
        <v>64</v>
      </c>
      <c r="N17" s="11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10.75" customHeight="1">
      <c r="A18" s="3"/>
      <c r="B18" s="92" t="s">
        <v>72</v>
      </c>
      <c r="C18" s="92" t="s">
        <v>51</v>
      </c>
      <c r="D18" s="96">
        <v>14.0</v>
      </c>
      <c r="E18" s="141" t="s">
        <v>118</v>
      </c>
      <c r="F18" s="92" t="s">
        <v>122</v>
      </c>
      <c r="G18" s="103" t="s">
        <v>22</v>
      </c>
      <c r="H18" s="138" t="s">
        <v>123</v>
      </c>
      <c r="I18" s="92" t="s">
        <v>58</v>
      </c>
      <c r="J18" s="105" t="s">
        <v>62</v>
      </c>
      <c r="K18" s="107">
        <v>45649.0</v>
      </c>
      <c r="L18" s="96" t="s">
        <v>63</v>
      </c>
      <c r="M18" s="96" t="s">
        <v>64</v>
      </c>
      <c r="N18" s="11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10.75" customHeight="1">
      <c r="A19" s="3"/>
      <c r="B19" s="92" t="s">
        <v>72</v>
      </c>
      <c r="C19" s="92" t="s">
        <v>127</v>
      </c>
      <c r="D19" s="96">
        <v>16.0</v>
      </c>
      <c r="E19" s="141" t="s">
        <v>128</v>
      </c>
      <c r="F19" s="138" t="s">
        <v>130</v>
      </c>
      <c r="G19" s="103" t="s">
        <v>22</v>
      </c>
      <c r="H19" s="149" t="s">
        <v>133</v>
      </c>
      <c r="I19" s="92" t="s">
        <v>58</v>
      </c>
      <c r="J19" s="105" t="s">
        <v>62</v>
      </c>
      <c r="K19" s="107">
        <v>45649.0</v>
      </c>
      <c r="L19" s="96" t="s">
        <v>63</v>
      </c>
      <c r="M19" s="96" t="s">
        <v>64</v>
      </c>
      <c r="N19" s="11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10.75" customHeight="1">
      <c r="A20" s="3"/>
      <c r="B20" s="92" t="s">
        <v>135</v>
      </c>
      <c r="C20" s="92" t="s">
        <v>136</v>
      </c>
      <c r="D20" s="96">
        <v>18.0</v>
      </c>
      <c r="E20" s="141" t="s">
        <v>137</v>
      </c>
      <c r="F20" s="92" t="s">
        <v>140</v>
      </c>
      <c r="G20" s="103" t="s">
        <v>22</v>
      </c>
      <c r="H20" s="92" t="s">
        <v>141</v>
      </c>
      <c r="I20" s="92" t="s">
        <v>58</v>
      </c>
      <c r="J20" s="105" t="s">
        <v>62</v>
      </c>
      <c r="K20" s="107">
        <v>45649.0</v>
      </c>
      <c r="L20" s="96" t="s">
        <v>63</v>
      </c>
      <c r="M20" s="96" t="s">
        <v>64</v>
      </c>
      <c r="N20" s="11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10.75" customHeight="1">
      <c r="A21" s="3"/>
      <c r="B21" s="92" t="s">
        <v>135</v>
      </c>
      <c r="C21" s="92" t="s">
        <v>136</v>
      </c>
      <c r="D21" s="96">
        <v>18.0</v>
      </c>
      <c r="E21" s="141" t="s">
        <v>145</v>
      </c>
      <c r="F21" s="92" t="s">
        <v>146</v>
      </c>
      <c r="G21" s="103" t="s">
        <v>22</v>
      </c>
      <c r="H21" s="92" t="s">
        <v>147</v>
      </c>
      <c r="I21" s="92" t="s">
        <v>58</v>
      </c>
      <c r="J21" s="105" t="s">
        <v>62</v>
      </c>
      <c r="K21" s="107">
        <v>45649.0</v>
      </c>
      <c r="L21" s="96" t="s">
        <v>63</v>
      </c>
      <c r="M21" s="96" t="s">
        <v>64</v>
      </c>
      <c r="N21" s="11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10.75" customHeight="1">
      <c r="A22" s="3"/>
      <c r="B22" s="92" t="s">
        <v>135</v>
      </c>
      <c r="C22" s="92" t="s">
        <v>136</v>
      </c>
      <c r="D22" s="96">
        <v>19.0</v>
      </c>
      <c r="E22" s="152" t="s">
        <v>150</v>
      </c>
      <c r="F22" s="153" t="s">
        <v>153</v>
      </c>
      <c r="G22" s="37" t="s">
        <v>22</v>
      </c>
      <c r="H22" s="154" t="s">
        <v>156</v>
      </c>
      <c r="I22" s="92" t="s">
        <v>58</v>
      </c>
      <c r="J22" s="105" t="s">
        <v>62</v>
      </c>
      <c r="K22" s="107">
        <v>45649.0</v>
      </c>
      <c r="L22" s="96" t="s">
        <v>63</v>
      </c>
      <c r="M22" s="96" t="s">
        <v>64</v>
      </c>
      <c r="N22" s="11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10.75" customHeight="1">
      <c r="A23" s="3"/>
      <c r="B23" s="92" t="s">
        <v>135</v>
      </c>
      <c r="C23" s="92" t="s">
        <v>136</v>
      </c>
      <c r="D23" s="96">
        <v>20.0</v>
      </c>
      <c r="E23" s="156" t="s">
        <v>161</v>
      </c>
      <c r="F23" s="92" t="s">
        <v>165</v>
      </c>
      <c r="G23" s="103" t="s">
        <v>22</v>
      </c>
      <c r="H23" s="92" t="s">
        <v>156</v>
      </c>
      <c r="I23" s="92" t="s">
        <v>58</v>
      </c>
      <c r="J23" s="105" t="s">
        <v>62</v>
      </c>
      <c r="K23" s="107">
        <v>45649.0</v>
      </c>
      <c r="L23" s="96" t="s">
        <v>63</v>
      </c>
      <c r="M23" s="96" t="s">
        <v>64</v>
      </c>
      <c r="N23" s="11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3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3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3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3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3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3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3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3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3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3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3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3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3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3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3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3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3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3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3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3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3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3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3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3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3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3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3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3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3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3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3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3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3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3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3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3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3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3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3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3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3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3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3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3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3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3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3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3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3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3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3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3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3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3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3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3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3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3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3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3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3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3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3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3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3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3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3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3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3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3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3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3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3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3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3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3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3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3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3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3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3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3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3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3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3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3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3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3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3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3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3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3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3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3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3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3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3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3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3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3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3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3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3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3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3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3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3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3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3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3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3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3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3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3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3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3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3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3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3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3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3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3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3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3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3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3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3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3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3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3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3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3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3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3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3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3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3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3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3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3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3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3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3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3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3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3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3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3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3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3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3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3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3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3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3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3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3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3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3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3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3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3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3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3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3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3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3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3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3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3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3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3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3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3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3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3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3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3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3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3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3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3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3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3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3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3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3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3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3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3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3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3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3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3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3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3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3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3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3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3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3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3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3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3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3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3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3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3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3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3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3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3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3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3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3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3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3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3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3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3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3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3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3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3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3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3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3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3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3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3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3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3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3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3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3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3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3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3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3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3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3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3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3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3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3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3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3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3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3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3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3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3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3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3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3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3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3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3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3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3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3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3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3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3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3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3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3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3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3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3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3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3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3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3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3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3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3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3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3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3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3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3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3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3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3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3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3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3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3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3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3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3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3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3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3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3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3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3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3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3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3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3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3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3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3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3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3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3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3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3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3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3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3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3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3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3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3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3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3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3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3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3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3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3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3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3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3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3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3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3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3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3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3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3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3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3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3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3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3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3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3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3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3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3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3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3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3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3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3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3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3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3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3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3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3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3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3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3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3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3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3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3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3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3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3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3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3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3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3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3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3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3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3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3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3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3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3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3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3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3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3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3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3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3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3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3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3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3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3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3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3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3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3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3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3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3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3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3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3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3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3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3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3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3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3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3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3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3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3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3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3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3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3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3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3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3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3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3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3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3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3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3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3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3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3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3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3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3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3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3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3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3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3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3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3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3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3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3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3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3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3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3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3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3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3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3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3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3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3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3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3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3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3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3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3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3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3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3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3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3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3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3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3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3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3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3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3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3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3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3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3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3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3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3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3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3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3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3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3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3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3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3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3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3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3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3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3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3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3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3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3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3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3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3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3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3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3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3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3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3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3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3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3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3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3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3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3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3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3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3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3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3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3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3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3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3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3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3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3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3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3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3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3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3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3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3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3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3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3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3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3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3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3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3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3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3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3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3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3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3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3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3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3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3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3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3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3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3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3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3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3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3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3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3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3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3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3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3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3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3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3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3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3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3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3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3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3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3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3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3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3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3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3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3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3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3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3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3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3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3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3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3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3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3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3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3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3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3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3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3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3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3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3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3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3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3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3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3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3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3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3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3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3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3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3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3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3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3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3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3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3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3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3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3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3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3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3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3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3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3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3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3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3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3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3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3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3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3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3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3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3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3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3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3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3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3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3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3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3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3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3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3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3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3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3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3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3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3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3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3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3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3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3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3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3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3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3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3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3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3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3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3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3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3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3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3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3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3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3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3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3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3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3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3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3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3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3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3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3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3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3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3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3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3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3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3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3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3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3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3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3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3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3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3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3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3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3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3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3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3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3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3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3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3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3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3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3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3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3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3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3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3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3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3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3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3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3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3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3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3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3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3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3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3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3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3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3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3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3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3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3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3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3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3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3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3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3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3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3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3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3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3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3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3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3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3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3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3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3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3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3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3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3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3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3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3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3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3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3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3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3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3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3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3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3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3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3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3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3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3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3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3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3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3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3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3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3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3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3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3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3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3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3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3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3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3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3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3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3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3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3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3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3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3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3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3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3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3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3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3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3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3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3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3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3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3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3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3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3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3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3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3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3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3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3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3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3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3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3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3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3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3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3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3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3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3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3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3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3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3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3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3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3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3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3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3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3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3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3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3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3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3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3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3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3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3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3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3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3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3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3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3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3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3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3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3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3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3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3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3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3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3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3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3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3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3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3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3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3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3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3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3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3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3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3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3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3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3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3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3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3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3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3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3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3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3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3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3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3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3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3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3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3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3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3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3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3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3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3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3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3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3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3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3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3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3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3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3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3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3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3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3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3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3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3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3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3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3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3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3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3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3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3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3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3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3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3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3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3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3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3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3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3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3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3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3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3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3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3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3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3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3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3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3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3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3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3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3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3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3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3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B1:N6"/>
    <mergeCell ref="B9:F9"/>
  </mergeCells>
  <dataValidations>
    <dataValidation type="list" allowBlank="1" showErrorMessage="1" sqref="J10:J23">
      <formula1>"Berhasil,Gagal,Siap dites,Tidak dites,Belum dites,Butuh konfirmasi"</formula1>
    </dataValidation>
    <dataValidation type="list" allowBlank="1" showErrorMessage="1" sqref="M10:M23">
      <formula1>"Script Plan,Script Tambahan"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0.57"/>
    <col customWidth="1" min="7" max="7" width="33.43"/>
    <col customWidth="1" min="8" max="8" width="37.57"/>
    <col customWidth="1" min="9" max="9" width="23.14"/>
    <col customWidth="1" min="10" max="10" width="29.57"/>
    <col customWidth="1" min="11" max="12" width="18.86"/>
    <col customWidth="1" min="13" max="13" width="9.14"/>
    <col customWidth="1" min="14" max="14" width="12.43"/>
    <col customWidth="1" min="15" max="26" width="9.14"/>
  </cols>
  <sheetData>
    <row r="1" ht="28.5" customHeight="1">
      <c r="A1" s="3"/>
      <c r="B1" s="232" t="s">
        <v>299</v>
      </c>
      <c r="C1" s="11"/>
      <c r="D1" s="11"/>
      <c r="E1" s="11"/>
      <c r="F1" s="11"/>
      <c r="G1" s="11"/>
      <c r="H1" s="11"/>
      <c r="I1" s="11"/>
      <c r="J1" s="11"/>
      <c r="K1" s="11"/>
      <c r="L1" s="17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"/>
      <c r="B2" s="26"/>
      <c r="L2" s="2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"/>
      <c r="B3" s="26"/>
      <c r="L3" s="2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"/>
      <c r="B4" s="26"/>
      <c r="L4" s="2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"/>
      <c r="B5" s="26"/>
      <c r="L5" s="2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"/>
      <c r="B6" s="35"/>
      <c r="C6" s="38"/>
      <c r="D6" s="38"/>
      <c r="E6" s="38"/>
      <c r="F6" s="38"/>
      <c r="G6" s="38"/>
      <c r="H6" s="38"/>
      <c r="I6" s="38"/>
      <c r="J6" s="38"/>
      <c r="K6" s="38"/>
      <c r="L6" s="42"/>
      <c r="M6" s="20"/>
      <c r="N6" s="45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3"/>
      <c r="B7" s="48"/>
      <c r="C7" s="52"/>
      <c r="D7" s="52"/>
      <c r="E7" s="52"/>
      <c r="F7" s="52"/>
      <c r="G7" s="54"/>
      <c r="H7" s="52"/>
      <c r="I7" s="52"/>
      <c r="J7" s="48"/>
      <c r="K7" s="20"/>
      <c r="L7" s="20"/>
      <c r="M7" s="20"/>
      <c r="N7" s="45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62"/>
      <c r="B8" s="66" t="s">
        <v>16</v>
      </c>
      <c r="C8" s="66" t="s">
        <v>23</v>
      </c>
      <c r="D8" s="66" t="s">
        <v>24</v>
      </c>
      <c r="E8" s="66" t="s">
        <v>25</v>
      </c>
      <c r="F8" s="66" t="s">
        <v>26</v>
      </c>
      <c r="G8" s="66" t="s">
        <v>28</v>
      </c>
      <c r="H8" s="66" t="s">
        <v>29</v>
      </c>
      <c r="I8" s="233" t="s">
        <v>300</v>
      </c>
      <c r="J8" s="66" t="s">
        <v>34</v>
      </c>
      <c r="K8" s="66" t="s">
        <v>37</v>
      </c>
      <c r="L8" s="66" t="s">
        <v>36</v>
      </c>
      <c r="M8" s="68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33.0" customHeight="1">
      <c r="A9" s="3"/>
      <c r="B9" s="234"/>
      <c r="C9" s="57"/>
      <c r="D9" s="57"/>
      <c r="E9" s="57"/>
      <c r="F9" s="79"/>
      <c r="G9" s="235"/>
      <c r="H9" s="235"/>
      <c r="I9" s="235"/>
      <c r="J9" s="235"/>
      <c r="K9" s="235"/>
      <c r="L9" s="236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6.25" customHeight="1">
      <c r="A10" s="3"/>
      <c r="B10" s="237"/>
      <c r="C10" s="238"/>
      <c r="D10" s="239"/>
      <c r="E10" s="240"/>
      <c r="F10" s="237"/>
      <c r="G10" s="237"/>
      <c r="H10" s="103"/>
      <c r="I10" s="105"/>
      <c r="J10" s="241"/>
      <c r="K10" s="242"/>
      <c r="L10" s="243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6.25" customHeight="1">
      <c r="A11" s="3"/>
      <c r="B11" s="237"/>
      <c r="C11" s="238"/>
      <c r="D11" s="239"/>
      <c r="E11" s="240"/>
      <c r="F11" s="237"/>
      <c r="G11" s="237"/>
      <c r="H11" s="103"/>
      <c r="I11" s="105"/>
      <c r="J11" s="241"/>
      <c r="K11" s="242"/>
      <c r="L11" s="243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6.25" customHeight="1">
      <c r="A12" s="3"/>
      <c r="B12" s="237"/>
      <c r="C12" s="238"/>
      <c r="D12" s="239"/>
      <c r="E12" s="240"/>
      <c r="F12" s="237"/>
      <c r="G12" s="237"/>
      <c r="H12" s="103"/>
      <c r="I12" s="105"/>
      <c r="J12" s="241"/>
      <c r="K12" s="242"/>
      <c r="L12" s="243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6.25" customHeight="1">
      <c r="A13" s="3"/>
      <c r="B13" s="237"/>
      <c r="C13" s="238"/>
      <c r="D13" s="239"/>
      <c r="E13" s="240"/>
      <c r="F13" s="237"/>
      <c r="G13" s="237"/>
      <c r="H13" s="103"/>
      <c r="I13" s="105"/>
      <c r="J13" s="241"/>
      <c r="K13" s="242"/>
      <c r="L13" s="243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6.25" customHeight="1">
      <c r="A14" s="3"/>
      <c r="B14" s="237"/>
      <c r="C14" s="238"/>
      <c r="D14" s="239"/>
      <c r="E14" s="240"/>
      <c r="F14" s="237"/>
      <c r="G14" s="237"/>
      <c r="H14" s="103"/>
      <c r="I14" s="105"/>
      <c r="J14" s="241"/>
      <c r="K14" s="242"/>
      <c r="L14" s="243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6.25" customHeight="1">
      <c r="A15" s="3"/>
      <c r="B15" s="237"/>
      <c r="C15" s="238"/>
      <c r="D15" s="239"/>
      <c r="E15" s="240"/>
      <c r="F15" s="237"/>
      <c r="G15" s="237"/>
      <c r="H15" s="103"/>
      <c r="I15" s="105"/>
      <c r="J15" s="241"/>
      <c r="K15" s="242"/>
      <c r="L15" s="243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6.25" customHeight="1">
      <c r="A16" s="3"/>
      <c r="B16" s="237"/>
      <c r="C16" s="238"/>
      <c r="D16" s="239"/>
      <c r="E16" s="240"/>
      <c r="F16" s="237"/>
      <c r="G16" s="237"/>
      <c r="H16" s="103"/>
      <c r="I16" s="105"/>
      <c r="J16" s="241"/>
      <c r="K16" s="242"/>
      <c r="L16" s="243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6.25" customHeight="1">
      <c r="A17" s="3"/>
      <c r="B17" s="237"/>
      <c r="C17" s="238"/>
      <c r="D17" s="239"/>
      <c r="E17" s="240"/>
      <c r="F17" s="237"/>
      <c r="G17" s="237"/>
      <c r="H17" s="103"/>
      <c r="I17" s="105"/>
      <c r="J17" s="241"/>
      <c r="K17" s="242"/>
      <c r="L17" s="243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6.25" customHeight="1">
      <c r="A18" s="3"/>
      <c r="B18" s="237"/>
      <c r="C18" s="238"/>
      <c r="D18" s="239"/>
      <c r="E18" s="240"/>
      <c r="F18" s="237"/>
      <c r="G18" s="237"/>
      <c r="H18" s="103"/>
      <c r="I18" s="105"/>
      <c r="J18" s="241"/>
      <c r="K18" s="242"/>
      <c r="L18" s="243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6.25" customHeight="1">
      <c r="A19" s="3"/>
      <c r="B19" s="237"/>
      <c r="C19" s="238"/>
      <c r="D19" s="239"/>
      <c r="E19" s="240"/>
      <c r="F19" s="237"/>
      <c r="G19" s="237"/>
      <c r="H19" s="103"/>
      <c r="I19" s="105"/>
      <c r="J19" s="241"/>
      <c r="K19" s="242"/>
      <c r="L19" s="243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3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3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3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3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3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3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3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3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3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3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3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3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3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3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3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3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3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3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3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3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3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3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3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3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3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3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3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3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3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3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3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3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3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3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3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3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3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3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3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3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3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3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3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3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3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3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3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3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3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3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3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3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3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3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3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3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3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3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3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3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3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3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3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3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3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3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3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3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3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3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3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3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3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3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3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3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3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3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3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3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3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3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3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3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3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3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3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3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3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3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3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3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3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3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3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3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3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3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3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3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3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3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3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3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3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3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3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3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3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3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3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3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3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3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3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3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3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3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3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3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3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3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3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3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3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3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3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3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3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3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3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3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3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3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3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3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3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3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3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3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3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3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3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3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3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3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3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3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3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3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3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3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3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3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3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3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3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3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3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3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3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3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3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3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3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3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3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3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3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3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3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3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3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3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3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3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3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3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3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3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3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3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3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3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3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3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3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3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3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3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3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3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3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3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3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3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3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3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3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3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3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3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3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3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3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3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3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3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3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3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3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3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3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3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3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3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3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3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3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3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3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3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3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3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3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3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3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3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3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3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3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3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3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3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3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3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3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3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3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3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3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3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3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3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3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3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3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3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3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3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3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3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3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3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3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3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3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3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3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3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3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3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3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3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3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3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3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3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3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3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3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3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3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3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3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3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3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3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3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3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3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3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3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3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3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3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3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3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3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3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3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3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3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3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3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3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3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3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3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3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3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3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3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3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3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3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3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3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3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3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3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3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3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3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3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3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3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3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3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3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3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3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3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3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3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3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3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3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3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3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3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3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3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3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3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3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3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3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3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3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3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3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3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3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3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3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3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3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3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3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3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3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3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3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3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3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3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3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3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3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3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3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3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3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3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3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3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3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3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3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3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3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3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3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3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3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3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3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3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3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3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3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3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3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3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3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3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3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3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3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3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3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3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3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3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3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3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3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3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3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3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3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3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3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3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3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3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3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3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3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3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3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3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3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3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3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3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3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3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3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3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3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3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3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3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3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3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3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3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3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3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3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3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3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3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3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3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3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3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3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3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3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3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3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3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3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3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3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3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3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3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3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3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3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3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3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3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3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3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3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3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3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3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3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3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3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3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3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3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3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3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3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3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3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3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3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3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3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3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3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3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3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3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3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3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3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3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3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3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3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3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3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3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3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3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3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3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3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3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3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3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3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3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3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3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3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3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3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3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3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3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3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3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3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3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3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3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3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3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3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3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3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3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3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3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3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3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3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3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3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3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3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3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3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3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3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3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3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3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3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3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3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3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3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3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3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3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3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3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3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3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3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3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3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3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3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3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3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3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3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3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3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3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3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3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3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3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3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3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3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3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3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3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3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3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3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3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3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3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3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3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3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3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3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3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3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3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3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3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3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3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3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3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3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3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3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3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3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3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3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3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3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3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3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3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3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3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3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3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3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3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3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3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3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3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3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3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3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3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3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3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3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3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3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3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3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3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3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3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3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3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3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3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3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3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3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3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3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3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3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3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3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3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3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3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3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3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3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3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3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3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3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3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3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3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3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3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3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3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3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3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3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3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3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3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3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3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3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3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3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3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3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3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3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3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3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3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3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3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3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3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3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3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3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3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3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3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3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3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3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3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3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3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3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3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3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3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3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3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3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3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3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3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3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3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3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3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3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3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3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3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3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3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3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3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3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3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3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3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3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3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3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3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3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3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3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3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3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3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3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3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3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3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3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3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3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3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3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3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3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3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3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3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3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3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3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3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3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3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3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3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3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3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3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3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3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3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3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3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3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3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3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3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3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3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3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3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3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3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3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3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3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3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3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3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3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3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3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3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3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3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3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3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3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3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3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3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3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3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3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3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3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3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3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3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3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3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3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3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3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3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3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3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3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3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3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3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3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3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3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3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3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3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3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3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3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3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3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3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3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3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3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3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3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3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3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3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3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3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3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3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3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3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3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3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3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3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3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3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3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3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3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3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3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3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3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3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3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3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3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3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3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3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3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3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3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3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3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3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3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3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3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3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3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3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3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3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3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3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3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3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3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3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3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3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3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3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3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3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3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3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3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3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3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3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3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3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3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3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3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3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3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3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3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3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3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3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3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3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3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3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3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3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3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3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3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3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3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3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3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3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3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3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3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3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3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3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3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3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3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3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3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3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3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3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3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3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3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3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3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3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3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3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3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3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3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3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3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3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3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3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3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3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3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3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3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3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3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3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3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3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3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3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3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3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B1:L6"/>
    <mergeCell ref="B9:F9"/>
  </mergeCells>
  <dataValidations>
    <dataValidation type="list" allowBlank="1" showErrorMessage="1" sqref="I10:I19">
      <formula1>"Berhasil,Gagal,Siap dites,Tidak dites,Belum dites,Butuh konfirmasi"</formula1>
    </dataValidation>
    <dataValidation type="list" allowBlank="1" showErrorMessage="1" sqref="B10:B19">
      <formula1>$O$1:$O$4</formula1>
    </dataValidation>
    <dataValidation type="list" allowBlank="1" showErrorMessage="1" sqref="K10:K19">
      <formula1>"Script Plan,Script Tambahan"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4.71"/>
    <col customWidth="1" min="3" max="3" width="21.57"/>
    <col customWidth="1" min="4" max="5" width="23.57"/>
    <col customWidth="1" min="6" max="7" width="22.57"/>
    <col customWidth="1" min="8" max="8" width="35.71"/>
    <col customWidth="1" min="9" max="26" width="8.71"/>
  </cols>
  <sheetData>
    <row r="2" ht="19.5" customHeight="1">
      <c r="B2" s="244" t="s">
        <v>301</v>
      </c>
      <c r="C2" s="244" t="s">
        <v>302</v>
      </c>
      <c r="D2" s="244" t="s">
        <v>303</v>
      </c>
      <c r="E2" s="244" t="s">
        <v>304</v>
      </c>
      <c r="F2" s="244" t="s">
        <v>305</v>
      </c>
      <c r="G2" s="244" t="s">
        <v>25</v>
      </c>
      <c r="H2" s="244" t="s">
        <v>306</v>
      </c>
    </row>
    <row r="3">
      <c r="B3" s="245"/>
      <c r="C3" s="246"/>
      <c r="D3" s="247"/>
      <c r="E3" s="247"/>
      <c r="F3" s="247"/>
      <c r="G3" s="247"/>
      <c r="H3" s="247"/>
    </row>
    <row r="4">
      <c r="B4" s="248"/>
      <c r="C4" s="248"/>
      <c r="D4" s="247"/>
      <c r="E4" s="247"/>
      <c r="F4" s="247"/>
      <c r="G4" s="247"/>
      <c r="H4" s="247"/>
    </row>
    <row r="5">
      <c r="B5" s="248"/>
      <c r="C5" s="248"/>
      <c r="D5" s="247"/>
      <c r="E5" s="247"/>
      <c r="F5" s="247"/>
      <c r="G5" s="247"/>
      <c r="H5" s="247"/>
    </row>
    <row r="6">
      <c r="B6" s="49"/>
      <c r="C6" s="49"/>
      <c r="D6" s="247"/>
      <c r="E6" s="247"/>
      <c r="F6" s="247"/>
      <c r="G6" s="247"/>
      <c r="H6" s="2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B6"/>
    <mergeCell ref="C3:C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2024-06-20T02:38:12Z</dcterms:created>
  <dc:creator>Rizkika Arilia</dc:creator>
</cp:coreProperties>
</file>