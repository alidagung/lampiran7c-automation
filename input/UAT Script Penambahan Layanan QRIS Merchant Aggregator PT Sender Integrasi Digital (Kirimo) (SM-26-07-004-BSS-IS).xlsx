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 Script" sheetId="1" r:id="rId5"/>
    <sheet state="visible" name="UAT Progress" sheetId="2" r:id="rId6"/>
    <sheet state="visible" name="UAT Error Log" sheetId="3" r:id="rId7"/>
    <sheet state="hidden" name="Butuh Konfirmasi" sheetId="4" r:id="rId8"/>
    <sheet state="visible" name="UAT Issue" sheetId="5" r:id="rId9"/>
    <sheet state="visible" name="UAT Attendanc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6">
      <text>
        <t xml:space="preserve">======
ID#AAAB1SP6-xU
    (2024-10-28 03:21:18)
PT Hanjaya Mandala Sampoerna Tbk, commonly known as Sampoerna, is an Indonesian tobacco company owned by Philip Morris International. Sampoerna is thww</t>
      </text>
    </comment>
    <comment authorId="0" ref="F35">
      <text>
        <t xml:space="preserve">======
ID#AAAB1SP6-xQ
    (2024-10-28 03:21:18)
PT Hanjaya Mandala Sampoerna Tbk, commonly known as Sampoerna, is an Indonesian tobacco company owned by Philip Morris International. Sampoerna is thww</t>
      </text>
    </comment>
    <comment authorId="0" ref="F31">
      <text>
        <t xml:space="preserve">======
ID#AAAB1SCqitk
    (2024-10-28 03:21:18)
PT Hanjaya Mandala Sampoerna Tbk, commonly known as Sampoerna, is an Indonesian tobacco company owned by Philip Morris International. Sampoerna is thw</t>
      </text>
    </comment>
    <comment authorId="0" ref="F30">
      <text>
        <t xml:space="preserve">======
ID#AAAB1SP6-xk
    (2024-10-28 03:21:18)
PT Hanjaya Mandala Sampoerna Tbk</t>
      </text>
    </comment>
    <comment authorId="0" ref="F45">
      <text>
        <t xml:space="preserve">======
ID#AAAB1SP6-xg
    (2024-10-28 03:21:18)
PT Hanjaya Mandala Sampoerna Tbk, commonly known as Sampoerna, is an Indonesian tobacco company owned by Philip Morris International. Sampoerna is thww</t>
      </text>
    </comment>
    <comment authorId="0" ref="F44">
      <text>
        <t xml:space="preserve">======
ID#AAAB1SP6-xo
    (2024-10-28 03:21:18)
PT Hanjaya Mandala Sampoerna Tbk, commonly known as Sampoerna, is an Indonesian tobacco company owned by Philip Morris International. Sampoerna is thww</t>
      </text>
    </comment>
    <comment authorId="0" ref="F27">
      <text>
        <t xml:space="preserve">======
ID#AAAB1SP6-xc
    (2024-10-28 03:21:18)
To start counting your letters, simply write or paste the text into the text area and Count characters. Select Options: to count without spaces, punctu</t>
      </text>
    </comment>
    <comment authorId="0" ref="F26">
      <text>
        <t xml:space="preserve">======
ID#AAAB1SP6-xY
    (2024-10-28 03:21:18)
To start counting your letters, simply write or paste the text into the text area and Count characters. Select Options: to count without spaces, punctu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ID#AAAB1SP6-xM
Pilihan drop down list     (2026-03-03 03:35:52)
Input Data
Cek Data
Cek Laporan
Cek Jurnal
COB
Reverse Data</t>
      </text>
    </comment>
  </commentList>
</comments>
</file>

<file path=xl/sharedStrings.xml><?xml version="1.0" encoding="utf-8"?>
<sst xmlns="http://schemas.openxmlformats.org/spreadsheetml/2006/main" count="704" uniqueCount="308">
  <si>
    <r>
      <rPr>
        <rFont val="Calibri"/>
        <b/>
        <i/>
        <color theme="1"/>
        <sz val="20.0"/>
      </rPr>
      <t xml:space="preserve">User Acceptance Test Issue
</t>
    </r>
    <r>
      <rPr>
        <rFont val="Calibri"/>
        <b/>
        <i val="0"/>
        <color theme="1"/>
        <sz val="20.0"/>
      </rPr>
      <t>UAT Enhancement TPMS Notaris</t>
    </r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</si>
  <si>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QRIS Merchant Aggregator PT Sender Integrasi Digital (Kirimo) (SM-26-07-004-BSS-IS)&gt;</t>
    </r>
  </si>
  <si>
    <t>Progress UAT Penambahan Layanan QRIS Merchant Aggregator PT Sender Integrasi Digital (Kirimo)</t>
  </si>
  <si>
    <t>UAT Error Log for Penambahan Layanan QRIS Merchant Aggregator</t>
  </si>
  <si>
    <t>Status Tes Script</t>
  </si>
  <si>
    <t>Jumlah</t>
  </si>
  <si>
    <t>Percentage</t>
  </si>
  <si>
    <t>Berhasil</t>
  </si>
  <si>
    <t>Low</t>
  </si>
  <si>
    <t>Open</t>
  </si>
  <si>
    <t>System</t>
  </si>
  <si>
    <t>Cek Data</t>
  </si>
  <si>
    <t>Nama Proyek/Aplikasi</t>
  </si>
  <si>
    <t>Kategori</t>
  </si>
  <si>
    <t>Nomor Referensi</t>
  </si>
  <si>
    <t>SM-26-07-004-BSS-IS</t>
  </si>
  <si>
    <t>Nama Modul</t>
  </si>
  <si>
    <t>Nomor Skenario</t>
  </si>
  <si>
    <t>Nomor Kasus Tes</t>
  </si>
  <si>
    <t>Langkah Tes</t>
  </si>
  <si>
    <t>Data yang Digunakan</t>
  </si>
  <si>
    <t>Hasil yang Diharapkan</t>
  </si>
  <si>
    <t>Hasil Aktual</t>
  </si>
  <si>
    <t>Status</t>
  </si>
  <si>
    <t>Tanggal Pelaksanaan</t>
  </si>
  <si>
    <t>Pelaksana</t>
  </si>
  <si>
    <t>Dibuat oleh</t>
  </si>
  <si>
    <t>Jenis script</t>
  </si>
  <si>
    <t>Ket</t>
  </si>
  <si>
    <t>Lama Tes (dalam hari)</t>
  </si>
  <si>
    <t>Nicholas Adriel</t>
  </si>
  <si>
    <t>Tanda Tangan</t>
  </si>
  <si>
    <t>Medium</t>
  </si>
  <si>
    <t>Closed</t>
  </si>
  <si>
    <t>Data</t>
  </si>
  <si>
    <t>Diperiksa oleh</t>
  </si>
  <si>
    <t>Tanggal Mulai Tes</t>
  </si>
  <si>
    <t>Kendra Devina</t>
  </si>
  <si>
    <t>Payment</t>
  </si>
  <si>
    <t>Tanggal Selesai Tes</t>
  </si>
  <si>
    <t>Gagal</t>
  </si>
  <si>
    <t>Disetujui oleh</t>
  </si>
  <si>
    <t>14,2</t>
  </si>
  <si>
    <r>
      <rPr>
        <rFont val="Arial"/>
        <b/>
        <color theme="1"/>
        <sz val="12.0"/>
      </rPr>
      <t xml:space="preserve">Payment &gt; Edit 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</si>
  <si>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Wibiyanto Cahyadi</t>
  </si>
  <si>
    <t>UAT</t>
  </si>
  <si>
    <t>Data berhasil ditampilkan</t>
  </si>
  <si>
    <t>Butuh konfirmasi mengenai perubahan perhitungan pada total permbayaran dengan fee bank</t>
  </si>
  <si>
    <t>High</t>
  </si>
  <si>
    <t>Ready to test</t>
  </si>
  <si>
    <t>Butuh konfirmasi</t>
  </si>
  <si>
    <t>Siap dites</t>
  </si>
  <si>
    <t>Reyhan Dahananto / Mila Sri Hardianti</t>
  </si>
  <si>
    <t>No.</t>
  </si>
  <si>
    <t>Script Plan</t>
  </si>
  <si>
    <t>Penjelasan</t>
  </si>
  <si>
    <t>System/ Data</t>
  </si>
  <si>
    <t>Severity</t>
  </si>
  <si>
    <t>14,3</t>
  </si>
  <si>
    <t>Simulasi</t>
  </si>
  <si>
    <r>
      <rPr>
        <rFont val="Arial"/>
        <b/>
        <color theme="1"/>
        <sz val="12.0"/>
      </rPr>
      <t>Payment &gt; Edit (Save data)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</si>
  <si>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Tanggal Ditemukan</t>
  </si>
  <si>
    <t>Input Data</t>
  </si>
  <si>
    <t>14,4</t>
  </si>
  <si>
    <r>
      <rPr>
        <rFont val="Arial"/>
        <b/>
        <color theme="1"/>
        <sz val="12.0"/>
      </rPr>
      <t>Payment &gt; Edit  (fee bank dan total biaya otomatis generate)</t>
    </r>
    <r>
      <rPr>
        <rFont val="Arial"/>
        <color theme="1"/>
        <sz val="12.0"/>
      </rPr>
      <t xml:space="preserve">
- Klik menu Notaris
- Klik sub-menu Payment
- Pilih Payment
- Klik tab New
- Klik tombol edit, lalu padaTab Termin, lengkapi field :
   a. Tanggal transfer
   b. Nama Bank
- Klik tombol add, kemudian klik tombol add detail
- Pada termin biaya, tambahkan rincian biaya dan biaya perjasa
</t>
    </r>
    <r>
      <rPr>
        <rFont val="Arial"/>
        <b/>
        <color theme="1"/>
        <sz val="12.0"/>
      </rPr>
      <t>- pilih persentase fee (fee bank dan total biaya otomatis generate)</t>
    </r>
    <r>
      <rPr>
        <rFont val="Arial"/>
        <color theme="1"/>
        <sz val="12.0"/>
      </rPr>
      <t xml:space="preserve">
- Rincian biaya yang sudah tercantum dapat dihapus dengan cara klik tombol remove
- Pada tab document, lakukan upload dokumen sesuai yang tersedia
- Pada tab data cancel, berisikan history cancel.
-Setelah data payment sudah diinput, kemudian klik save dan submit</t>
    </r>
  </si>
  <si>
    <t>Berhasil submit data payment</t>
  </si>
  <si>
    <t>Aging/Hari</t>
  </si>
  <si>
    <t>14,5</t>
  </si>
  <si>
    <r>
      <rPr>
        <rFont val="Arial"/>
        <b/>
        <color theme="1"/>
        <sz val="12.0"/>
      </rPr>
      <t>Melakukan pengecekan Nominal Biaya Perjasa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</si>
  <si>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Ditemukan Oleh</t>
  </si>
  <si>
    <t xml:space="preserve">Berhasil menampilkan 'Biaya Perjasa' list detail payment </t>
  </si>
  <si>
    <r>
      <rPr>
        <rFont val="Calibri"/>
        <b/>
        <color theme="1"/>
        <sz val="13.0"/>
      </rPr>
      <t xml:space="preserve">Solusi </t>
    </r>
    <r>
      <rPr>
        <rFont val="Calibri"/>
        <b/>
        <i/>
        <color theme="1"/>
        <sz val="13.0"/>
      </rPr>
      <t>Defect</t>
    </r>
  </si>
  <si>
    <t>Target Diperbaiki</t>
  </si>
  <si>
    <t>Tidak dites</t>
  </si>
  <si>
    <t>Tanggal Selesai</t>
  </si>
  <si>
    <t>Lingkungan Tes</t>
  </si>
  <si>
    <t>14,6</t>
  </si>
  <si>
    <r>
      <rPr>
        <rFont val="Arial"/>
        <b/>
        <color theme="1"/>
        <sz val="12.0"/>
      </rPr>
      <t>List Payment &gt; Menampilkan detail data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</si>
  <si>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Detail data berhasil ditampilkan</t>
  </si>
  <si>
    <t>butuh konfirmasi mengenai Sisa Dana Dalam Tampungan</t>
  </si>
  <si>
    <t>14,7</t>
  </si>
  <si>
    <r>
      <rPr>
        <rFont val="Arial"/>
        <b/>
        <color theme="1"/>
        <sz val="12.0"/>
      </rPr>
      <t>List Payment &gt; Menampilkan detail data (Termin)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</si>
  <si>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14,12</t>
  </si>
  <si>
    <r>
      <rPr>
        <rFont val="Arial"/>
        <b/>
        <color theme="1"/>
        <sz val="12.0"/>
      </rPr>
      <t xml:space="preserve">Melakukan pengecekan perubahan nama field </t>
    </r>
    <r>
      <rPr>
        <rFont val="Arial"/>
        <color theme="1"/>
        <sz val="12.0"/>
      </rPr>
      <t xml:space="preserve">
- Klik menu Notaris
- Klik sub-menu Payment
- Pilih Payment
- </t>
    </r>
    <r>
      <rPr>
        <rFont val="Arial"/>
        <b/>
        <color theme="1"/>
        <sz val="12.0"/>
      </rPr>
      <t>Cek perubahan field Biaya Titipan Notaris, Fee Notaris, dan Sisa</t>
    </r>
  </si>
  <si>
    <t>Perubahan field berhasil pada ‘Biaya Notaris’ diubah menjadi ‘Biaya Titipan Notaris’, ‘Titipan Notaris’ diubah menjadi ‘Fee Notaris’, dan ‘Dana Titipan’ diubah menjadi ‘Sisa’.</t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</si>
  <si>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QRIS Merchant Aggregator PT Sender Integrasi Digital (Kirimo) (SM-26-07-004-BSS-IS)&gt;</t>
    </r>
  </si>
  <si>
    <t>Belum dites</t>
  </si>
  <si>
    <t>14,13</t>
  </si>
  <si>
    <r>
      <rPr>
        <rFont val="Arial"/>
        <b/>
        <color theme="1"/>
        <sz val="12.0"/>
      </rPr>
      <t>Melakukan pengecekan penambahan field 'Fee Bank'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</si>
  <si>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'Fee bank' list detail payment </t>
  </si>
  <si>
    <t>14,14</t>
  </si>
  <si>
    <r>
      <rPr>
        <rFont val="Arial"/>
        <b/>
        <color theme="1"/>
        <sz val="12.0"/>
      </rPr>
      <t xml:space="preserve"> Melakukan pengecekan perubahan rumusan nominal field 'Total Pembayaran'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</si>
  <si>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Berhasil menampilkan Field ‘Total Pembayaran’ yang rumusan datanya berubah menjadi nominal dari perhitungan Biaya Perjasa + Fee Bank</t>
  </si>
  <si>
    <t>Verifikasi Payment</t>
  </si>
  <si>
    <t>16,6</t>
  </si>
  <si>
    <r>
      <rPr>
        <rFont val="Arial"/>
        <b/>
        <color theme="1"/>
        <sz val="12.0"/>
      </rPr>
      <t xml:space="preserve">Melakukan pengecekan penyesuaian mapping template generate OP
</t>
    </r>
    <r>
      <rPr>
        <rFont val="Arial"/>
        <color theme="1"/>
        <sz val="12.0"/>
      </rPr>
      <t>- Klik menu Notaris
- Klik sub-menu Payment
- Pilih Verifikasi Payment
- Cek dokumen hasil Generate OP yang sudah berhasil di download</t>
    </r>
  </si>
  <si>
    <t>Berhasil menampilkan mapping kolom ‘Kode Cabang’, ‘No. Customer’, ‘Tgl. Settlement’, ‘Nominal’, ‘Sisa Settlement’</t>
  </si>
  <si>
    <t>Irdian Muhammad Haikal</t>
  </si>
  <si>
    <t>cek Data</t>
  </si>
  <si>
    <t>Track List Payment</t>
  </si>
  <si>
    <t>18,1</t>
  </si>
  <si>
    <r>
      <rPr>
        <rFont val="Arial"/>
        <b/>
        <color theme="1"/>
        <sz val="12.0"/>
      </rPr>
      <t>Track List Payment &gt; Payment detail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</si>
  <si>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</t>
  </si>
  <si>
    <t>18,2</t>
  </si>
  <si>
    <t>Dodi Selamet Rohadi</t>
  </si>
  <si>
    <r>
      <rPr>
        <rFont val="Arial"/>
        <b/>
        <color theme="1"/>
        <sz val="12.0"/>
      </rPr>
      <t xml:space="preserve">Track List Payment &gt; Termin
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</si>
  <si>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 detail termin</t>
  </si>
  <si>
    <t>Total Script</t>
  </si>
  <si>
    <t>19.2</t>
  </si>
  <si>
    <r>
      <rPr>
        <rFont val="Arial"/>
        <b/>
        <color theme="1"/>
        <sz val="12.0"/>
      </rPr>
      <t xml:space="preserve">Rekap Payment Notaris &gt; Export excel
</t>
    </r>
    <r>
      <rPr>
        <rFont val="Arial"/>
        <b val="0"/>
        <color theme="1"/>
        <sz val="12.0"/>
      </rPr>
      <t>- Klik menu report
- Klik sub menu report Rekap Payment Notaris
- Filter report berdasarkan tanggal/periode
- Pastikan data yang ditampilkan sesuai dengan filter
- Lakukan export report
- Pastikan hasil export sesuai dengan filter (format xls)</t>
    </r>
  </si>
  <si>
    <t>Hanna Hasdiani</t>
  </si>
  <si>
    <t>Berhasil export dan field terisi</t>
  </si>
  <si>
    <t>20.2</t>
  </si>
  <si>
    <r>
      <rPr>
        <rFont val="Arial"/>
        <b/>
        <color theme="1"/>
        <sz val="12.0"/>
      </rPr>
      <t>Biaya Titipan Notaris &gt; Export excel</t>
    </r>
    <r>
      <rPr>
        <rFont val="Arial"/>
        <color theme="1"/>
        <sz val="12.0"/>
      </rPr>
      <t xml:space="preserve">
- Klik menu Monitoring
- Klik sub menu Biaya Titipan Notaris
- Filter
- Pastikan data yang ditampilkan sesuai dengan filter
- Lakukan export report
- Pastikan hasil export sesuai dengan filter (format xls)
</t>
    </r>
  </si>
  <si>
    <t>Total Progress</t>
  </si>
  <si>
    <t>Rheinhard Unwaru</t>
  </si>
  <si>
    <t>Note : Jika Aging/hari lebih dari 7 hari kerja, mohon ditandai warna kuning</t>
  </si>
  <si>
    <t>Michael Jerry Johanes Sigalingging</t>
  </si>
  <si>
    <t>Hasil yang diharapkan</t>
  </si>
  <si>
    <t>Remarks</t>
  </si>
  <si>
    <r>
      <rPr>
        <rFont val="Arial"/>
        <b/>
        <color theme="1"/>
        <sz val="12.0"/>
      </rPr>
      <t xml:space="preserve">Jenis </t>
    </r>
    <r>
      <rPr>
        <rFont val="Arial"/>
        <b/>
        <i/>
        <color theme="1"/>
        <sz val="12.0"/>
      </rPr>
      <t>Script</t>
    </r>
  </si>
  <si>
    <t>Balance Services</t>
  </si>
  <si>
    <t>Any Service</t>
  </si>
  <si>
    <t>1.1</t>
  </si>
  <si>
    <t>3,1 Access Token Invalid</t>
  </si>
  <si>
    <t>Error Code: 401xx01
Error Message: "Access Token Invalid"</t>
  </si>
  <si>
    <t>Tidak sesuai dengan kondisi produk</t>
  </si>
  <si>
    <t>1.2</t>
  </si>
  <si>
    <t>3,2 Unauthorized . Signature</t>
  </si>
  <si>
    <t>Error Code: 401xx00
Error Message: "Unauthorized Signature"</t>
  </si>
  <si>
    <t>1.3</t>
  </si>
  <si>
    <t>3,3 Missing Mandatory Field {} …, etc</t>
  </si>
  <si>
    <t>Error Code: 400xx02
Error Message: "Missing Mandatory Field {........}"</t>
  </si>
  <si>
    <t>1.4</t>
  </si>
  <si>
    <t>3,3 Invalid Field Format {} .., etc</t>
  </si>
  <si>
    <t>Error Code: 400xx01
Error Message: "Invalid Field Format {........}"</t>
  </si>
  <si>
    <t>1.5</t>
  </si>
  <si>
    <t>3,4 Cannot use the same X-EXTERNAL-ID</t>
  </si>
  <si>
    <t>Error Code: 409xx00
Error Message: "Conflict"</t>
  </si>
  <si>
    <t>Balance Inquiry</t>
  </si>
  <si>
    <t>1.6</t>
  </si>
  <si>
    <t>3,5 Inquiry Saldo Utama (IDR and/or USD, etc) (termasuk saldo lainnya)</t>
  </si>
  <si>
    <t>Response Code: 2001100
Response Message: "success"</t>
  </si>
  <si>
    <t>1.7</t>
  </si>
  <si>
    <t>3,6 Inquiry Saldo lebih dari 1 account</t>
  </si>
  <si>
    <t>1.8</t>
  </si>
  <si>
    <t>3,7 Inquiry Saldo account yang sudah tutup</t>
  </si>
  <si>
    <t>Error Code: 4031118
Error Message: "Account Inactive"</t>
  </si>
  <si>
    <t>1.9</t>
  </si>
  <si>
    <t>3,8 Invalid Access Token Scope</t>
  </si>
  <si>
    <t>Error Code: 4011100
Error Message: "Invalid Access Token Scope"</t>
  </si>
  <si>
    <t>1.10</t>
  </si>
  <si>
    <t>3,9 Account Frozen/Abnormal</t>
  </si>
  <si>
    <t>Error Code: 4031105
Error Message: "Account Frozen/Abnormal"</t>
  </si>
  <si>
    <t>1.11</t>
  </si>
  <si>
    <t>3,10 B2B2C Access Token Invalid</t>
  </si>
  <si>
    <t>Error Code: 4011101
Error Message: "Access Token Invalid"</t>
  </si>
  <si>
    <t>API Transaction History List</t>
  </si>
  <si>
    <t>2.1</t>
  </si>
  <si>
    <t>4,1 Access Token Invalid</t>
  </si>
  <si>
    <t>2.2</t>
  </si>
  <si>
    <t>4,2 Unauthorized . Signature</t>
  </si>
  <si>
    <t>2.3</t>
  </si>
  <si>
    <t>4,3 Missing Mandatory Field {} …, etc</t>
  </si>
  <si>
    <t>2.4</t>
  </si>
  <si>
    <t>4,4 Invalid Field Format {} .., etc</t>
  </si>
  <si>
    <t>2.5</t>
  </si>
  <si>
    <t>4,5 Cannot use the same X-EXTERNAL-ID</t>
  </si>
  <si>
    <t>Transaction History List</t>
  </si>
  <si>
    <t>2.6</t>
  </si>
  <si>
    <t>4,6 Sukses menampilkan daftar transaksi yang terjadi dalam kurun waktu tertentu</t>
  </si>
  <si>
    <t>Response Code: 2001200
Response Message: "success"</t>
  </si>
  <si>
    <t>2.7</t>
  </si>
  <si>
    <t>4,7 Mengakses daftar transaksi account yang sudah tutup</t>
  </si>
  <si>
    <t>Error Code: 4031218
Error Message: "Inactive Account"</t>
  </si>
  <si>
    <t>2.8</t>
  </si>
  <si>
    <t>4,8 B2B2C Access Token Invalid</t>
  </si>
  <si>
    <t>Error Code: 4011201
Error Message: "Access Token Invalid"</t>
  </si>
  <si>
    <t>QR MPM</t>
  </si>
  <si>
    <t>3.1</t>
  </si>
  <si>
    <t>18,1 Access Token Invalid</t>
  </si>
  <si>
    <t xml:space="preserve">Request:
POST /snap-qris/v1.1/qr/qr-mpm-generate HTTP/1.1
Host: ob-sandbox.banksampoerna.co.id
User-Agent: Go-http-client/1.1
Content-Length: 256
Authorization: Bearer accessToken.AccessToken
CHANNEL-ID: CH001
Content-Type: application/json
X-EXTERNAL-ID: 2026080611353601817391957
X-PARTNER-ID: KIRIMO
X-SIGNATURE: IhxeCJq7t7AP0ahF/PIRvC59NEIB7SrRBPOAq8eZkxO0x86TH7wGoc1Ka+XfrDrGzBlvVshyA9Qn+s10v9MzAA==
X-TIMESTAMP: 2026-08-06T11:35:36+07:00
Accept-Encoding: gzip
{"partnerReferenceNo":"2026080611353601817391957","merchantId":"9360052300000003749","terminalId":"A01","additionalInfo":{"billNumber":"2026080611353601817391957"},"amount":{"value":"50000.00","currency":"IDR"},"validityPeriod":"2026-08-06T12:05:36+07:00"}
Response:
HTTP/1.1 401 
Content-Length: 66
Access-Control-Allow-Origin: *
Cache-Control: no-cache, no-store, must-revalidate
Connection: keep-alive
Content-Security-Policy: default-src 'self'
Content-Type: application/json;charset=ISO-8859-1
Date: Thu, 06 Aug 2026 04:33:50 GMT
Expires: 0
Pragma: no-cache
Public-Key-Pins: pin-sha256="nQPXamGeO1QhgyL4G/h0MO2/GmWgDTPYayL81ZL37Qg="; max-age=5184000; includeSubDomains
Set-Cookie: TS01c5c17c=012b59617888109fafb369271d116df29e0e5ad67ad7b99d564373bec5d684bb38e8afb1c71de343dd5e2b0dcab04a0076ba4384aa; Path=/; Domain=.ob-sandbox.banksampoerna.co.id
Strict-Transport-Security: max-age=31536000; includeSubDomains
X-Content-Type-Options: nosniff
X-Frame-Options: DENY
{"responseCode":"4014701","responseMessage":"Invalid token (B2B)"}
</t>
  </si>
  <si>
    <t>3.2</t>
  </si>
  <si>
    <t>18,2 Unauthorized . Signature</t>
  </si>
  <si>
    <t>Request:
POST /snap-qris/v1.1/qr/qr-mpm-generate HTTP/1.1
Host: ob-sandbox.banksampoerna.co.id
User-Agent: Go-http-client/1.1
Content-Length: 256
Authorization: Bearer accessToken.AccessToken
CHANNEL-ID: CH001
Content-Type: application/json
X-EXTERNAL-ID: 2026080515145398152927179
X-PARTNER-ID: KIRIMO
X-SIGNATURE: Xy1xV4krFTneLLcWn9G53Fq8REx1SMN+h8AT9HB4IFPnhVorQgAvHWERJ9DZsPZuHKE2RDiiQYEz/Z+MmO2wXA==
X-TIMESTAMP: 2026-08-05T15:14:53+07:00
Accept-Encoding: gzip
{"partnerReferenceNo":"2026080515145398152927179","merchantId":"9360052300000003749","terminalId":"A01","additionalInfo":{"billNumber":"2026080515145398152927179"},"amount":{"value":"10000.00","currency":"IDR"},"validityPeriod":"2026-08-05T15:44:53+07:00"}
Response:
HTTP/1.1 401 
Content-Length: 79
Access-Control-Allow-Origin: *
Cache-Control: no-cache, no-store, must-revalidate
Connection: keep-alive
Content-Security-Policy: default-src 'self'
Content-Type: application/json;charset=ISO-8859-1
Date: Wed, 05 Aug 2026 08:13:07 GMT
Expires: 0
Pragma: no-cache
Public-Key-Pins: pin-sha256="nQPXamGeO1QhgyL4G/h0MO2/GmWgDTPYayL81ZL37Qg="; max-age=5184000; includeSubDomains
Set-Cookie: TS01c5c17c=012b596178551bb34982103d14da5adce7eb4e80c09383ab38d3234137790dcaaf381bc2a4c4732e3870188f66ced8d2e34fc2a958; Path=/; Domain=.ob-sandbox.banksampoerna.co.id
Strict-Transport-Security: max-age=31536000; includeSubDomains
X-Content-Type-Options: nosniff
X-Frame-Options: DENY
{"responseCode":"4014700","responseMessage":"Unauthorized (Invalid Signature)"}</t>
  </si>
  <si>
    <t>3.3</t>
  </si>
  <si>
    <t>18,3 Missing Mandatory Field {} …, etc</t>
  </si>
  <si>
    <t>Request:
POST /snap-qris/v1.1/qr/qr-mpm-generate HTTP/1.1
Host: ob-sandbox.banksampoerna.co.id
User-Agent: Go-http-client/1.1
Content-Length: 207
Authorization: Bearer 8Kq3s/CivorwpIue56O+5qKc8JOKqvCqv4HlhIrwobO/6IS4
CHANNEL-ID: CH001
Content-Type: application/json
X-EXTERNAL-ID: 2026080515161114884009675
X-PARTNER-ID: KIRIMO
X-SIGNATURE: mZOQyNgQlErFYRNQW0sz2vLOZYSUoPnVt3Q87w8maTi7OAQyoK3yYFF7TVAMATMPjoOKEGPKGCFYZ7OZYfxSJw==
X-TIMESTAMP: 2026-08-05T15:16:11+07:00
Accept-Encoding: gzip
{"merchantId":"9360052300000003749","terminalId":"A01","additionalInfo":{"billNumber":"2026080515161114884009675"},"amount":{"value":"10000.00","currency":"IDR"},"validityPeriod":"2026-08-05T15:46:11+07:00"}
Response:
HTTP/1.1 400 
Content-Length: 89
Cache-Control: no-cache, no-store, must-revalidate
Connection: keep-alive
Content-Security-Policy: default-src 'self'
Content-Type: application/json
Date: Wed, 05 Aug 2026 08:14:25 GMT
Expires: 0
Pragma: no-cache
Public-Key-Pins: pin-sha256="nQPXamGeO1QhgyL4G/h0MO2/GmWgDTPYayL81ZL37Qg="; max-age=5184000; includeSubDomains
Set-Cookie: TS01c5c17c=012b5961781f1937822a15ef4919ac9907c8097f234b29f26cdc0cfae58cc526a1caad1e4ee44f4d75a42b0dbbe098606ab8f18827; Path=/; Domain=.ob-sandbox.banksampoerna.co.id
Strict-Transport-Security: max-age=31536000; includeSubDomains
Vary: Origin
Vary: Access-Control-Request-Method
Vary: Access-Control-Request-Headers
X-Content-Type-Options: nosniff
X-Frame-Options: DENY
{"responseCode":"4004702","responseMessage":"Invalid Mandatory Field partnerReferenceNo"}</t>
  </si>
  <si>
    <t>3.4</t>
  </si>
  <si>
    <t>18,4 Invalid Field Format {} .., etc</t>
  </si>
  <si>
    <t>Request:
POST /snap-qris/v1.1/qr/qr-mpm-generate HTTP/1.1
Host: ob-sandbox.banksampoerna.co.id
User-Agent: Go-http-client/1.1
Content-Length: 232
Authorization: Bearer 6L+98KS1oOGsmPCiiIztg47wpriA47Kr5L2K8KeLmeS8nPClv60=
CHANNEL-ID: CH001
Content-Type: application/json
X-EXTERNAL-ID: 2026080515194001681649926
X-PARTNER-ID: KIRIMO
X-SIGNATURE: hNs6n1+XoRbq55sug/ELFI+4bG+iioLq0kQb35XnL60ZVbyvKUdwSoBRwOTgVg9tACy6wdv0Ed7MMYy51Au+tg==
X-TIMESTAMP: 2026-08-05T15:19:40+07:00
Accept-Encoding: gzip
{"partnerReferenceNo":"2026080515194001681649926","merchantId":"9360052300000003749","terminalId":"A01","additionalInfo":{"billNumber":"2026080515194001681649926"},"amount":{"value":"10000.00","currency":"IDR"},"validityPeriod":222}
Response:
HTTP/1.1 200 
Content-Length: 131
Cache-Control: no-cache, no-store, must-revalidate
Connection: keep-alive
Content-Security-Policy: default-src 'self'
Content-Type: application/json
Date: Wed, 05 Aug 2026 08:17:54 GMT
Expires: 0
Pragma: no-cache
Public-Key-Pins: pin-sha256="nQPXamGeO1QhgyL4G/h0MO2/GmWgDTPYayL81ZL37Qg="; max-age=5184000; includeSubDomains
Set-Cookie: Path=/; HttpOnly; Secure
Set-Cookie: TS01c5c17c=012b59617822b64810f3b2305d856a03285f4e07a4e49c938fe865e5a781d95ad48d2da8a2fb8776faf732db33449eab48a4f15761; Path=/; Domain=.ob-sandbox.banksampoerna.co.id
Strict-Transport-Security: max-age=31536000; includeSubDomains
Vary: Origin
Vary: Access-Control-Request-Method
Vary: Access-Control-Request-Headers
X-Content-Type-Options: nosniff
X-Frame-Options: DENY
{"responseCode":"4004701","responseMessage":"Invalid field format validityPeriod","partnerReferenceNo":"2026080515194001681649926"}</t>
  </si>
  <si>
    <t>3.5</t>
  </si>
  <si>
    <t>18,5 Cannot use the same X-EXTERNAL-ID</t>
  </si>
  <si>
    <t>Request:
POST /snap-qris/v1.1/qr/qr-mpm-generate HTTP/1.1
Host: ob-sandbox.banksampoerna.co.id
User-Agent: Go-http-client/1.1
Content-Length: 256
Authorization: Bearer 4pmm4LWq64W+8KuYqPComoHwo6iHy7LjpIDwooGj8KCJoOe8lg==
CHANNEL-ID: CH001
Content-Type: application/json
X-EXTERNAL-ID: 2026080515093993536924088
X-PARTNER-ID: KIRIMO
X-SIGNATURE: f4lN59sPRekSysj0BGrr4YCr7aYV/aXRCYo/GtWBaU+36d5755inscSOgTJHU8lYdgSBW+CKunxqJ0VpUHCHVw==
X-TIMESTAMP: 2026-08-05T15:23:10+07:00
Accept-Encoding: gzip
{"partnerReferenceNo":"2026080515231068490629188","merchantId":"9360052300000003749","terminalId":"A01","additionalInfo":{"billNumber":"2026080515231068490629188"},"amount":{"value":"10000.00","currency":"IDR"},"validityPeriod":"2026-08-05T15:53:10+07:00"}
Response:
HTTP/1.1 409 
Content-Length: 55
Access-Control-Allow-Origin: *
Cache-Control: no-cache, no-store, must-revalidate
Connection: keep-alive
Content-Security-Policy: default-src 'self'
Content-Type: application/json;charset=ISO-8859-1
Date: Wed, 05 Aug 2026 08:21:25 GMT
Expires: 0
Pragma: no-cache
Public-Key-Pins: pin-sha256="nQPXamGeO1QhgyL4G/h0MO2/GmWgDTPYayL81ZL37Qg="; max-age=5184000; includeSubDomains
Set-Cookie: TS01c5c17c=012b596178cfa89be5257c26024bb85040c18328ba6d8da3962b8c7bdf4fca953f8ec0174f3a73fed4bc0a3ff2b4ff2b0ec91e54cc; Path=/; Domain=.ob-sandbox.banksampoerna.co.id
Strict-Transport-Security: max-age=31536000; includeSubDomains
X-Content-Type-Options: nosniff
X-Frame-Options: DENY
{"responseCode":"4094700","responseMessage":"Conflict"}</t>
  </si>
  <si>
    <t>QR MPM - Generate QR</t>
  </si>
  <si>
    <t>3.6</t>
  </si>
  <si>
    <t>18,6 Show QR Code</t>
  </si>
  <si>
    <t>Response Code: 2004700
Response Message: "success"</t>
  </si>
  <si>
    <r>
      <rPr>
        <rFont val="Cambria"/>
        <b/>
        <color rgb="FF000000"/>
        <sz val="11.0"/>
      </rPr>
      <t xml:space="preserve">Request: 
</t>
    </r>
    <r>
      <rPr>
        <rFont val="Cambria"/>
        <color rgb="FF000000"/>
        <sz val="11.0"/>
      </rPr>
      <t xml:space="preserve">POST /snap-qris/v1.1/qr/qr-mpm-generate HTTP/1.1
Host: ob-sandbox.banksampoerna.co.id
User-Agent: Go-http-client/1.1
Content-Length: 256
Authorization: Bearer 5aai4LW55qCH8KeJmPCoqIzwqpiz8KeireyKruCshfCjp7PslqA=
CHANNEL-ID: CH001
Content-Type: application/json
X-EXTERNAL-ID: 2026080515093993536924088
X-PARTNER-ID: KIRIMO
X-SIGNATURE: zcmg6G0Gg9KeCoPaXn9QSEQiiohtxQo28EJIdxT/w0WrSSlYjRaD20tDgkJa70Q6QZeQL8XMVgn5v50aHTK/cA==
X-TIMESTAMP: 2026-08-05T15:09:39+07:00
Accept-Encoding: gzip
{"partnerReferenceNo":"2026080515093993536924088","merchantId":"9360052300000003749","terminalId":"A01","additionalInfo":{"billNumber":"2026080515093993536924088"},"amount":{"value":"10000.00","currency":"IDR"},"validityPeriod":"2026-08-05T15:39:39+07:00"}
</t>
    </r>
    <r>
      <rPr>
        <rFont val="Cambria"/>
        <b/>
        <color rgb="FF000000"/>
        <sz val="11.0"/>
      </rPr>
      <t>Response</t>
    </r>
    <r>
      <rPr>
        <rFont val="Cambria"/>
        <color rgb="FF000000"/>
        <sz val="11.0"/>
      </rPr>
      <t>:
HTTP/1.1 200 
Content-Length: 421
Cache-Control: no-cache, no-store, must-revalidate
Connection: keep-alive
Content-Security-Policy: default-src 'self'
Content-Type: application/json
Date: Wed, 05 Aug 2026 08:07:53 GMT
Expires: 0
Pragma: no-cache
Public-Key-Pins: pin-sha256="nQPXamGeO1QhgyL4G/h0MO2/GmWgDTPYayL81ZL37Qg="; max-age=5184000; includeSubDomains
Set-Cookie: Path=/; HttpOnly; Secure
Set-Cookie: TS01c5c17c=012b5961786b87618254342c70453f4cd3e74ddcc4eb02e896b7d18c25c8cada32c28d87857106d9909ebc701af49903809e6ea94b; Path=/; Domain=.ob-sandbox.banksampoerna.co.id
Strict-Transport-Security: max-age=31536000; includeSubDomains
Vary: Origin
Vary: Access-Control-Request-Method
Vary: Access-Control-Request-Headers
X-Content-Type-Options: nosniff
X-Frame-Options: DENY
{"responseCode":"2004700","responseMessage":"Successful","partnerReferenceNo":"2026080515093993536924088","qrContent":"00020101021226750023ID.CO.BANKSAMPOERNA.WWW01189360052300000003740215ID20260000032670303UKE51450015ID.OR.GPNQR.WWW0215ID20260000032670303UKE5204478953033605405100005802ID5917.KIRIMO MERCHANT.6013JAKARTA PUSAT6105101106236012520260805150939935369240880703A0163042991","merchantName":".KIRIMO MERCHANT."}</t>
    </r>
  </si>
  <si>
    <t>3.7</t>
  </si>
  <si>
    <t>18,7 Invalid Merchant</t>
  </si>
  <si>
    <t>Error Code: 4044708
Error Message: "Invalid Merchant"</t>
  </si>
  <si>
    <r>
      <rPr>
        <rFont val="Cambria"/>
        <b/>
        <color rgb="FF000000"/>
        <sz val="11.0"/>
      </rPr>
      <t xml:space="preserve">Request:
</t>
    </r>
    <r>
      <rPr>
        <rFont val="Cambria"/>
        <color rgb="FF000000"/>
        <sz val="11.0"/>
      </rPr>
      <t>POST /snap-qris/v1.1/qr/qr-mpm-generate HTTP/1.1
Host: ob-sandbox.banksampoerna.co.id
User-Agent: Go-http-client/1.1
Content-Length: 247
Authorization: Bearer 8KeEsvCnuYLwkoGL8KSZifCpqKvwn5mA8JCFhua3kOaThg==
CHANNEL-ID: CH001
Content-Type: application/json
X-EXTERNAL-ID: 2026080515331935153010650
X-PARTNER-ID: KIRIMO
X-SIGNATURE: kdO0Rw9HVaWqfROLnrvH/DqTGXTE3kWghJxWkRf2AM6+lju+3iIgjF+CvxU3rEe3miXGPXDjRJ3sRaVx+8nZvA==
X-TIMESTAMP: 2026-08-05T15:33:19+07:00
Accept-Encoding: gzip
{"partnerReferenceNo":"2026080515331935153010650","merchantId":"merchantId","terminalId":"A01","additionalInfo":{"billNumber":"2026080515331935153010650"},"amount":{"value":"10000.00","currency":"IDR"},"validityPeriod":"2026-08-05T16:03:19+07:00"}
Response:
HTTP/1.1 200 
Content-Length: 124
Cache-Control: no-cache, no-store, must-revalidate
Connection: keep-alive
Content-Security-Policy: default-src 'self'
Content-Type: application/json
Date: Wed, 05 Aug 2026 08:31:35 GMT
Expires: 0
Pragma: no-cache
Public-Key-Pins: pin-sha256="nQPXamGeO1QhgyL4G/h0MO2/GmWgDTPYayL81ZL37Qg="; max-age=5184000; includeSubDomains
Set-Cookie: Path=/; HttpOnly; Secure
Set-Cookie: TS01c5c17c=012b5961783e7a4042c6745d7e18f88ee99d6a336f24b9689894263ee7188e91e19e2b0ebcb042c07b81e1d4c320c899901833ba8a; Path=/; Domain=.ob-sandbox.banksampoerna.co.id
Strict-Transport-Security: max-age=31536000; includeSubDomains
Vary: Origin
Vary: Access-Control-Request-Method
Vary: Access-Control-Request-Headers
X-Content-Type-Options: nosniff
X-Frame-Options: DENY
{"responseCode":"4044708","responseMessage":"Invalid Merchant (Not Found)","partnerReferenceNo":"2026080515331935153010650"}</t>
    </r>
  </si>
  <si>
    <t>QR MPM - Decode QR</t>
  </si>
  <si>
    <t>3.8</t>
  </si>
  <si>
    <t>18,8 Parsing Payload QR Code</t>
  </si>
  <si>
    <t>Response Code: 2004800
Response Message: "success"</t>
  </si>
  <si>
    <t>tidak ditest</t>
  </si>
  <si>
    <t>3.9</t>
  </si>
  <si>
    <t>18,9 QR Code Payload Parsing Error</t>
  </si>
  <si>
    <t>Error Code: 4004800
Error Message: "Parsing Error"</t>
  </si>
  <si>
    <t>QR MPM - Payment Redirect</t>
  </si>
  <si>
    <t>3.10</t>
  </si>
  <si>
    <t>18,10 Payment Success</t>
  </si>
  <si>
    <t>Response Code: 2004900
Response Message: "success"</t>
  </si>
  <si>
    <t>3.11</t>
  </si>
  <si>
    <t>18,11 Amount Exceed Limit Reach</t>
  </si>
  <si>
    <t>Error Code: 4034902
Error Message: "Exceeds Amount Limit"</t>
  </si>
  <si>
    <t>QR MPM - Apply OTT</t>
  </si>
  <si>
    <t>3.12</t>
  </si>
  <si>
    <t>18,12 Get Auth Code</t>
  </si>
  <si>
    <t>Response Code: 2001000
Response Message: "success"</t>
  </si>
  <si>
    <t>QR MPM - Payment Host to Host</t>
  </si>
  <si>
    <t>3.13</t>
  </si>
  <si>
    <t>18,13 Payment Success</t>
  </si>
  <si>
    <t>Response Code: 2005000
Response Message: "success"</t>
  </si>
  <si>
    <t>3.14</t>
  </si>
  <si>
    <t>18,14 Amount Exceed Limit Reach</t>
  </si>
  <si>
    <t>Error Code: 4035002
Error Message: "Exceeds Amount Limit"</t>
  </si>
  <si>
    <t xml:space="preserve">Query Payment
</t>
  </si>
  <si>
    <t>3.15</t>
  </si>
  <si>
    <t xml:space="preserve">18,15 Query Successful Transaction
Field "latestTransactionStatus" diisi dengan value "00"
</t>
  </si>
  <si>
    <t xml:space="preserve">Response Code: 2005100
Response Message: "Successful"
</t>
  </si>
  <si>
    <t>Request:
POST /snap-qris/v1.1/qr/qr-mpm-query HTTP/1.1
Host: ob-sandbox.banksampoerna.co.id
User-Agent: Go-http-client/1.1
Content-Length: 172
Authorization: Bearer 8K+kgvCjpaLiu4Pwk4KZ5rOo5KeQ8Kufh/Cohp7qpJXwn5ij
CHANNEL-ID: CH001
Content-Type: application/json
X-EXTERNAL-ID: 2026080610495731662698097
X-PARTNER-ID: KIRIMO
X-SIGNATURE: XW6Rv8gmBoqTfQja9tDXJJImbsVO9yRnYTSAUFaDNZucuAUDLK/JpjrgEWxMTZbLE5VHwffWgI6S6ppBQ1y4jw==
X-TIMESTAMP: 2026-08-06T10:49:56+07:00
Accept-Encoding: gzip
{"originalPartnerReferenceNo":"2026080509285360578577141","serviceCode":"47","merchantId":"9360052300000003749","additionalInfo":{"billNumber":"2026080509285360578577141"}}
Response:
HTTP/1.1 200 
Content-Length: 511
Cache-Control: no-cache, no-store, must-revalidate
Connection: keep-alive
Content-Security-Policy: default-src 'self'
Content-Type: application/json
Date: Thu, 06 Aug 2026 03:48:11 GMT
Expires: 0
Pragma: no-cache
Public-Key-Pins: pin-sha256="nQPXamGeO1QhgyL4G/h0MO2/GmWgDTPYayL81ZL37Qg="; max-age=5184000; includeSubDomains
Set-Cookie: Path=/; HttpOnly; Secure
Set-Cookie: TS01c5c17c=012b59617821b0e2b2574c5dd189350fa07c38234b94dd01dc9d3dd4ec38164152a2890cbf7e550537966caab479f1fa17025c9247; Path=/; Domain=.ob-sandbox.banksampoerna.co.id
Strict-Transport-Security: max-age=31536000; includeSubDomains
Vary: Origin
Vary: Access-Control-Request-Method
Vary: Access-Control-Request-Headers
X-Content-Type-Options: nosniff
X-Frame-Options: DENY
{"responseCode":"2005100","responseMessage":"Successful","originalPartnerReferenceNo":"2026080509285360578577141","serviceCode":"47","latestTransactionStatus":"00","paidTime":"2026-08-05T16:35:56+07:00","amount":{"value":"40000.00","currency":"IDR"},"feeAmount":{"value":"0.00","currency":"IDR"},"additionalInfo":{"merchantPan":"9360052300000003749","customerPan":"9360052311023647709","terminalId":"A01","rrn":"706519959241","customerName":"ITDPA","issuerName":"Bank BSS"},"originalReferenceNo":"706519959241"}</t>
  </si>
  <si>
    <t>Query Payment</t>
  </si>
  <si>
    <t>3.16</t>
  </si>
  <si>
    <t>18,16 Pending Transaction</t>
  </si>
  <si>
    <t>Response Code: 2005100
Response Message: "success"
cek service code : 47</t>
  </si>
  <si>
    <t>Request:
POST /snap-qris/v1.1/qr/qr-mpm-query HTTP/1.1
Host: ob-sandbox.banksampoerna.co.id
User-Agent: Go-http-client/1.1
Content-Length: 172
Authorization: Bearer 8JCHk+qhiPCov4nwooi58KWOm+aBivClsIDwoKyV5bud7Ke/
CHANNEL-ID: CH001
Content-Type: application/json
X-EXTERNAL-ID: 2026080515405323589898047
X-PARTNER-ID: KIRIMO
X-SIGNATURE: FW3S9esHNMwL3/ycqCu+NDFQhgYWiF1Q0+YafnY51c4TjZFgjLkFXSfKkMin4joXlimpbG7km4pZDmFOMg5Kuw==
X-TIMESTAMP: 2026-08-05T15:40:53+07:00
Accept-Encoding: gzip
{"originalPartnerReferenceNo":"2026080510231608626615997","serviceCode":"47","merchantId":"9360052300000003749","additionalInfo":{"billNumber":"2026080510231608626615997"}}
Response:
HTTP/1.1 200 
Content-Length: 510
Cache-Control: no-cache, no-store, must-revalidate
Connection: keep-alive
Content-Security-Policy: default-src 'self'
Content-Type: application/json
Date: Wed, 05 Aug 2026 08:39:07 GMT
Expires: 0
Pragma: no-cache
Public-Key-Pins: pin-sha256="nQPXamGeO1QhgyL4G/h0MO2/GmWgDTPYayL81ZL37Qg="; max-age=5184000; includeSubDomains
Set-Cookie: Path=/; HttpOnly; Secure
Set-Cookie: TS01c5c17c=012b596178e51b50a3ede9a6daf5af0ce7a3ecfb3f431c4bc1b87462339ab7bcfc89ba4edc5d574c95822ee9ad329470759c1e7995; Path=/; Domain=.ob-sandbox.banksampoerna.co.id
Strict-Transport-Security: max-age=31536000; includeSubDomains
Vary: Origin
Vary: Access-Control-Request-Method
Vary: Access-Control-Request-Headers
X-Content-Type-Options: nosniff
X-Frame-Options: DENY
{"responseCode":"2005100","responseMessage":"Successful","originalPartnerReferenceNo":"2026080510231608626615997","serviceCode":"47","latestTransactionStatus":"03","paidTime":"2026-08-05T10:28:44+07:00","amount":{"value":"50068.00","currency":"IDR"},"feeAmount":{"value":"0.00","currency":"IDR"},"additionalInfo":{"merchantPan":"9360052300000003749","customerPan":"9360091281336100150","terminalId":"A01","rrn":"BSS000189727","customerName":"Luna Sara","issuerName":"OVO"},"originalReferenceNo":"BSS000189727"}</t>
  </si>
  <si>
    <t>3.17</t>
  </si>
  <si>
    <t>18,17 Transaction Not Found</t>
  </si>
  <si>
    <t>Response Code: 4045101
Response Message: "Transaction Not Found"
cek service code : 47</t>
  </si>
  <si>
    <t>Request:
POST /snap-qris/v1.1/qr/qr-mpm-query HTTP/1.1
Host: ob-sandbox.banksampoerna.co.id
User-Agent: Go-http-client/1.1
Content-Length: 158
Authorization: Bearer 8KKQreWSoPCioJ7vv4fwk4q18KGvg9GJ7LuL8KaHpuK+t+O/rw==
CHANNEL-ID: CH001
Content-Type: application/json
X-EXTERNAL-ID: 2026080515470933393692483
X-PARTNER-ID: KIRIMO
X-SIGNATURE: 9KdUH0HB6iHyx9ptyYPVbCKR04k/0koorMeIXQ6PRJOgsecd95XbsaZXNfdyvAqMr+oRsKbM7qeD8MVoln55mg==
X-TIMESTAMP: 2026-08-05T15:47:09+07:00
Accept-Encoding: gzip
{"originalPartnerReferenceNo":"NONEXISTENT_REF_ID","serviceCode":"47","merchantId":"9360052300000003749","additionalInfo":{"billNumber":"NONEXISTENT_REF_ID"}}
Response:
HTTP/1.1 200 
Content-Length: 157
Cache-Control: no-cache, no-store, must-revalidate
Connection: keep-alive
Content-Security-Policy: default-src 'self'
Content-Type: application/json
Date: Wed, 05 Aug 2026 08:45:23 GMT
Expires: 0
Pragma: no-cache
Public-Key-Pins: pin-sha256="nQPXamGeO1QhgyL4G/h0MO2/GmWgDTPYayL81ZL37Qg="; max-age=5184000; includeSubDomains
Set-Cookie: Path=/; HttpOnly; Secure
Set-Cookie: TS01c5c17c=012b596178ae52c5cfd4f6bbd105d96c3aeccc08063b5183fba63193be6ae42dfb973a1714555c06f240fb60c7c30381f55eae54fe; Path=/; Domain=.ob-sandbox.banksampoerna.co.id
Strict-Transport-Security: max-age=31536000; includeSubDomains
Vary: Origin
Vary: Access-Control-Request-Method
Vary: Access-Control-Request-Headers
X-Content-Type-Options: nosniff
X-Frame-Options: DENY
{"responseCode":"4045101","responseMessage":"Transaction not found","originalPartnerReferenceNo":"NONEXISTENT_REF_ID","serviceCode":"47","additionalInfo":{}}</t>
  </si>
  <si>
    <t>Payment Notify</t>
  </si>
  <si>
    <t>3.18</t>
  </si>
  <si>
    <t xml:space="preserve">18,18 "Notification for Successful Transaction
Field "latestTransactionStatus" diisi dengan value "00"
</t>
  </si>
  <si>
    <t>Response Code: 2005200
Response Message: "success"</t>
  </si>
  <si>
    <r>
      <rPr>
        <rFont val="Cambria"/>
        <color rgb="FF000000"/>
        <sz val="11.0"/>
      </rPr>
      <t>URL: https://api-staging.kirimo.dev/provider/v1.0/qr/qr-mpm-notify</t>
    </r>
    <r>
      <rPr>
        <rFont val="Cambria"/>
        <color rgb="FF1155CC"/>
        <sz val="11.0"/>
        <u/>
      </rPr>
      <t xml:space="preserve">
</t>
    </r>
    <r>
      <rPr>
        <rFont val="Cambria"/>
        <color rgb="FF000000"/>
        <sz val="11.0"/>
      </rPr>
      <t>Accept-Encoding: gzip,deflate
Authorization: Bearer eyJhbGciOiJSUzI1NiIsInR5cCI6IkpXVCJ9.eyJpZCI6MCwiYnVzaW5lc3NfaWQiOjAsInByb2plY3RfaWQiOiIiLCJ0eXBlIjoiYWNjZXNzX3Rva2VuIiwiaXNfYWRtaW4iOmZhbHNlLCJwcm92aWRlciI6ImJzcyIsImlzcyI6Imtpcmltb19kZXYiLCJleHAiOjE3ODU5OTA5MTAsImlhdCI6MTc4NTk5MDAxMCwianRpIjoiMzQ5ZDg1OWEtODE1ZC00MTllLTkxZGItZmQzYzA0YTcxY2IzIn0.kXMC_L9AVGw5srRp1WY4Li5XGvYzJFk80CRi2LL_joUFJOuLaxLbIGW2SA6U6OlAvZ-QTn5asQB8RQdZu3PPrhJDXCFHZ9vSFYYN_sCumVTMC5NzZcYNs1dXMI37IvKyyN0u2Q5DTpjjbAEXpzKA5fkd0s6Eho8OczY8IQItaEkEqOOSmzBZQCSS3W6tMKD8T0FECSnNYefT_wnnyq4lh7C14DN_ZaZojYNQX4fZ2oP_MCyUD6J2B_KgnGMb6cWUdguCZid2-onZTK6AjnLM6HVBqOjp6-BZgJ37VoxI1sdHdwVaAYG4HpFPBnfQe4RsAziuEgZmlQogCqCPNFycJQ
Channel-Id: QRIS
Content-Type: application/json; charset=UTF-8
User-Agent: Apache-HttpClient/4.5.2 (Java/1.8.0_181)
X-External-Id: BSS000189728
X-Partner-Id: KIRIMO
X-Signature: 7thPsaGH3MQHevFDQ7CKbRMn4hW8oYji2PvRnwNwRebygpeeq9a9RXN4MQyI/HC6+AwFJ3hrn4OhdbyabsOTHg==
X-Timestamp: 2026-08-06T11:20:13+07:00
{
  "originalReferenceNo": "BSS000189728",
  "originalPartnerReferenceNo": "2026080611163634243808598",
  "latestTransactionStatus": "00",
  "amount": {
    "value": "50000.00",
    "currency": "IDR"
  },
  "additionalInfo": {
    "billNumber": "2026080611163634243808598",
    "merchantPan": "9360052300000003749",
    "customerPan": "9360091281336100150",
    "terminalId": "A01",
    "customerName": "Luna Sara",
    "issuerName": "OVO",
    "transactionDate": "2026-08-06T11:18:57+07:00",
    "feeAmount": {
      "value": "0.00",
      "currency": "IDR"
    }
  }
}
Response
{
  "responseCode": "2005200",
  "responseMessage": "Request has been processed successfully"
}</t>
    </r>
  </si>
  <si>
    <t>3.19</t>
  </si>
  <si>
    <t xml:space="preserve">18,19 "Notification for Failed Transaction
Field "latestTransactionStatus" diisi dengan value "06"
</t>
  </si>
  <si>
    <t>PENGECEKAN MUTASI DAN JURNAL</t>
  </si>
  <si>
    <t>Transkasi QRIS sukses</t>
  </si>
  <si>
    <t>4.1</t>
  </si>
  <si>
    <t>Melakukan transaksi  QRIS  sukses</t>
  </si>
  <si>
    <t>Berhasil melakukan transaksi sesuai</t>
  </si>
  <si>
    <t>BSS</t>
  </si>
  <si>
    <t>4.2</t>
  </si>
  <si>
    <t>Melakukan  pengecekan mutasi dan jurnal</t>
  </si>
  <si>
    <t>Berhasil melakukan mutasi dan jurnal sesuai</t>
  </si>
  <si>
    <t xml:space="preserve">Generate QR SNAP </t>
  </si>
  <si>
    <t>5.1</t>
  </si>
  <si>
    <t>Generate dan melakukan transaksi issuer BSS</t>
  </si>
  <si>
    <t>Transaksi berhasil &amp; menerima notifikasi</t>
  </si>
  <si>
    <t>5.2</t>
  </si>
  <si>
    <t>5.3</t>
  </si>
  <si>
    <t>Generate dan melakukan transaksi issuer bank lain</t>
  </si>
  <si>
    <t>5.4</t>
  </si>
  <si>
    <t>5.5</t>
  </si>
  <si>
    <t>Generate dan melakukan transaksi dengan kategori merchant berbeda UMI/UKE/dll</t>
  </si>
  <si>
    <t>5.6</t>
  </si>
  <si>
    <t>Refund Payment</t>
  </si>
  <si>
    <t>6.1</t>
  </si>
  <si>
    <t>Melakukan refund transaksi issuer BSS</t>
  </si>
  <si>
    <t>Berhasil melakukan refund</t>
  </si>
  <si>
    <t>6.2</t>
  </si>
  <si>
    <t>6.3</t>
  </si>
  <si>
    <t>Melakukan refund transaksi issuer bank lain</t>
  </si>
  <si>
    <t>6.4</t>
  </si>
  <si>
    <t>7.1</t>
  </si>
  <si>
    <t xml:space="preserve">Melakukan cek status QR </t>
  </si>
  <si>
    <t>Berhasil melakukan cek status QR</t>
  </si>
  <si>
    <t>Inquiry Saldo</t>
  </si>
  <si>
    <t>8.1</t>
  </si>
  <si>
    <t xml:space="preserve">Melakukan inquiry saldo rek master </t>
  </si>
  <si>
    <t>Berhasil menampilkan saldo terakhir rek master</t>
  </si>
  <si>
    <t>Inquiry History Transaksi</t>
  </si>
  <si>
    <t>9.1</t>
  </si>
  <si>
    <t>Melakukan inquiry history transaksi</t>
  </si>
  <si>
    <t>Berhasil menampilkan list transaksi</t>
  </si>
  <si>
    <t>Report</t>
  </si>
  <si>
    <t>10.1</t>
  </si>
  <si>
    <t>Report SFTP 
 - Laporan TrxMerchant 
 - Laporan MutasiRekening 
 - Laporan MerchantAggregator</t>
  </si>
  <si>
    <t>Report Sesuai</t>
  </si>
  <si>
    <t>KET :</t>
  </si>
  <si>
    <t>Berhasil : Jika sesuai dengan hasil yang diharapkan</t>
  </si>
  <si>
    <t>Gagal : Jika tidak sesuai dengan hasil yang harapkan</t>
  </si>
  <si>
    <t>Siap dites : Jika terdapat update fixing dari vendor terkait bug</t>
  </si>
  <si>
    <t>Tidak dites : Jika diluar scope BRD/FSD dan juga tidak ada alat atau sistem pendukungnya</t>
  </si>
  <si>
    <t>Belum dites : Jika script belum saat dan waktunya dites</t>
  </si>
  <si>
    <t>Butuh Konfirmasi : Jika dalam melakukan pengetesan butuh konfirmasi user, vendor/programmer</t>
  </si>
  <si>
    <r>
      <rPr>
        <rFont val="Calibri"/>
        <b/>
        <i/>
        <color theme="1"/>
        <sz val="22.0"/>
      </rPr>
      <t xml:space="preserve">Pengembangan dan Pengadaan Teknologi Informasi 
User Acceptance Test Issue
</t>
    </r>
    <r>
      <rPr>
        <rFont val="Calibri"/>
        <b/>
        <i val="0"/>
        <color rgb="FF00B0F0"/>
        <sz val="22.0"/>
      </rPr>
      <t>&lt;Penambahan Layanan QRIS Merchant Aggregator&gt;</t>
    </r>
  </si>
  <si>
    <t>Tanggal</t>
  </si>
  <si>
    <t>Jam</t>
  </si>
  <si>
    <t>Peserta</t>
  </si>
  <si>
    <t>PUK</t>
  </si>
  <si>
    <t>Unit Kerja</t>
  </si>
  <si>
    <t>Keterangan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</si>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</sst>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#,##0;[Red]#,##0"/>
    <numFmt numFmtId="166" formatCode="d\-mmm\-yy"/>
    <numFmt numFmtId="167" formatCode="d&quot; &quot;mmm&quot; &quot;yyyy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sz val="1.0"/>
      <color theme="1"/>
      <name val="Calibri"/>
    </font>
    <font>
      <sz val="12.0"/>
      <color theme="1"/>
      <name val="Calibri"/>
    </font>
    <font>
      <b/>
      <i/>
      <sz val="20.0"/>
      <color theme="1"/>
      <name val="Calibri"/>
    </font>
    <font/>
    <font>
      <b/>
      <sz val="11.0"/>
      <color theme="1"/>
      <name val="Calibri"/>
    </font>
    <font>
      <b/>
      <sz val="18.0"/>
      <color theme="1"/>
      <name val="Calibri"/>
    </font>
    <font>
      <b/>
      <sz val="22.0"/>
      <color theme="1"/>
      <name val="Calibri"/>
    </font>
    <font>
      <b/>
      <sz val="14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b/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2.0"/>
      <color rgb="FF000000"/>
      <name val="Arial"/>
    </font>
    <font>
      <sz val="11.0"/>
      <color theme="1"/>
      <name val="Cambria"/>
    </font>
    <font>
      <b/>
      <i/>
      <sz val="13.0"/>
      <color theme="1"/>
      <name val="Calibri"/>
    </font>
    <font>
      <sz val="12.0"/>
      <color theme="1"/>
      <name val="Cambria"/>
    </font>
    <font>
      <b/>
      <sz val="12.0"/>
      <color theme="1"/>
      <name val="Arial"/>
    </font>
    <font>
      <b/>
      <i/>
      <sz val="12.0"/>
      <color theme="1"/>
      <name val="Arial"/>
    </font>
    <font>
      <b/>
      <sz val="11.0"/>
      <color theme="1"/>
      <name val="Cambria"/>
    </font>
    <font>
      <sz val="11.0"/>
      <color rgb="FF000000"/>
      <name val="Cambria"/>
    </font>
    <font>
      <sz val="10.0"/>
      <color theme="1"/>
      <name val="Calibri"/>
    </font>
    <font>
      <b/>
      <i/>
      <sz val="22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00FF99"/>
        <bgColor rgb="FF00FF99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</fills>
  <borders count="41">
    <border/>
    <border>
      <left/>
      <right/>
      <top/>
      <bottom/>
    </border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bottom/>
    </border>
    <border>
      <bottom/>
    </border>
    <border>
      <right style="medium">
        <color rgb="FF000000"/>
      </right>
      <top style="medium">
        <color rgb="FF000000"/>
      </top>
    </border>
    <border>
      <right/>
      <bottom/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</border>
    <border>
      <left style="thin">
        <color rgb="FF7F7F7F"/>
      </left>
      <right/>
      <top style="thin">
        <color rgb="FF7F7F7F"/>
      </top>
      <bottom/>
    </border>
    <border>
      <left style="thin">
        <color rgb="FF000000"/>
      </left>
      <top/>
    </border>
    <border>
      <left style="thin">
        <color rgb="FF7F7F7F"/>
      </left>
      <right style="thin">
        <color rgb="FF7F7F7F"/>
      </right>
      <top style="thin">
        <color rgb="FF7F7F7F"/>
      </top>
      <bottom/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2" fillId="2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vertical="center"/>
    </xf>
    <xf borderId="3" fillId="0" fontId="5" numFmtId="0" xfId="0" applyBorder="1" applyFont="1"/>
    <xf borderId="0" fillId="0" fontId="3" numFmtId="2" xfId="0" applyAlignment="1" applyFont="1" applyNumberFormat="1">
      <alignment vertical="center"/>
    </xf>
    <xf borderId="0" fillId="0" fontId="3" numFmtId="0" xfId="0" applyAlignment="1" applyFont="1">
      <alignment horizontal="left" vertical="center"/>
    </xf>
    <xf borderId="4" fillId="0" fontId="5" numFmtId="0" xfId="0" applyBorder="1" applyFont="1"/>
    <xf borderId="5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7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3" fontId="8" numFmtId="0" xfId="0" applyAlignment="1" applyBorder="1" applyFill="1" applyFont="1">
      <alignment horizontal="center" vertical="center"/>
    </xf>
    <xf borderId="6" fillId="0" fontId="1" numFmtId="0" xfId="0" applyBorder="1" applyFont="1"/>
    <xf borderId="14" fillId="0" fontId="5" numFmtId="0" xfId="0" applyBorder="1" applyFont="1"/>
    <xf borderId="7" fillId="0" fontId="9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6" fillId="0" fontId="5" numFmtId="0" xfId="0" applyBorder="1" applyFont="1"/>
    <xf borderId="0" fillId="0" fontId="9" numFmtId="0" xfId="0" applyAlignment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1" fillId="2" fontId="10" numFmtId="0" xfId="0" applyAlignment="1" applyBorder="1" applyFill="1" applyFont="1">
      <alignment shrinkToFit="0" vertical="center" wrapText="1"/>
    </xf>
    <xf borderId="21" fillId="0" fontId="5" numFmtId="0" xfId="0" applyBorder="1" applyFont="1"/>
    <xf borderId="22" fillId="0" fontId="9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1" fillId="2" fontId="11" numFmtId="0" xfId="0" applyAlignment="1" applyBorder="1" applyFill="1" applyFont="1">
      <alignment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25" fillId="0" fontId="5" numFmtId="0" xfId="0" applyBorder="1" applyFont="1"/>
    <xf borderId="26" fillId="4" fontId="1" numFmtId="0" xfId="0" applyBorder="1" applyFill="1" applyFont="1"/>
    <xf borderId="11" fillId="0" fontId="1" numFmtId="0" xfId="0" applyBorder="1" applyFont="1"/>
    <xf borderId="12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2" fontId="9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7" fillId="5" fontId="14" numFmtId="0" xfId="0" applyAlignment="1" applyBorder="1" applyFill="1" applyFont="1">
      <alignment horizontal="left" shrinkToFit="0" vertical="center" wrapText="1"/>
    </xf>
    <xf borderId="28" fillId="5" fontId="12" numFmtId="0" xfId="0" applyAlignment="1" applyBorder="1" applyFill="1" applyFont="1">
      <alignment horizontal="left" shrinkToFit="0" vertical="center" wrapText="1"/>
    </xf>
    <xf borderId="29" fillId="0" fontId="5" numFmtId="0" xfId="0" applyBorder="1" applyFont="1"/>
    <xf borderId="26" fillId="6" fontId="14" numFmtId="0" xfId="0" applyAlignment="1" applyBorder="1" applyFill="1" applyFont="1">
      <alignment horizontal="center" shrinkToFit="0" vertical="center" wrapText="1"/>
    </xf>
    <xf borderId="30" fillId="0" fontId="5" numFmtId="0" xfId="0" applyBorder="1" applyFont="1"/>
    <xf borderId="26" fillId="0" fontId="12" numFmtId="0" xfId="0" applyAlignment="1" applyBorder="1" applyFont="1">
      <alignment readingOrder="0" shrinkToFit="0" vertical="center" wrapText="1"/>
    </xf>
    <xf borderId="27" fillId="0" fontId="14" numFmtId="0" xfId="0" applyAlignment="1" applyBorder="1" applyFont="1">
      <alignment horizontal="left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5" fillId="5" fontId="12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vertical="center"/>
    </xf>
    <xf borderId="26" fillId="4" fontId="6" numFmtId="0" xfId="0" applyAlignment="1" applyBorder="1" applyFill="1" applyFont="1">
      <alignment horizontal="center"/>
    </xf>
    <xf borderId="15" fillId="0" fontId="3" numFmtId="0" xfId="0" applyAlignment="1" applyBorder="1" applyFont="1">
      <alignment horizontal="center" readingOrder="0" shrinkToFit="0" vertical="center" wrapText="1"/>
    </xf>
    <xf borderId="27" fillId="0" fontId="13" numFmtId="0" xfId="0" applyAlignment="1" applyBorder="1" applyFont="1">
      <alignment horizontal="left" vertical="center"/>
    </xf>
    <xf borderId="27" fillId="7" fontId="15" numFmtId="0" xfId="0" applyAlignment="1" applyBorder="1" applyFill="1" applyFont="1">
      <alignment horizontal="left" shrinkToFit="0" vertical="center" wrapText="1"/>
    </xf>
    <xf borderId="31" fillId="0" fontId="5" numFmtId="0" xfId="0" applyBorder="1" applyFont="1"/>
    <xf borderId="15" fillId="0" fontId="12" numFmtId="0" xfId="0" applyAlignment="1" applyBorder="1" applyFont="1">
      <alignment horizontal="center" shrinkToFit="0" wrapText="1"/>
    </xf>
    <xf borderId="32" fillId="7" fontId="12" numFmtId="0" xfId="0" applyAlignment="1" applyBorder="1" applyFill="1" applyFont="1">
      <alignment shrinkToFit="0" vertical="center" wrapText="1"/>
    </xf>
    <xf borderId="26" fillId="4" fontId="6" numFmtId="10" xfId="0" applyAlignment="1" applyBorder="1" applyFill="1" applyFont="1" applyNumberFormat="1">
      <alignment horizontal="center"/>
    </xf>
    <xf borderId="0" fillId="0" fontId="1" numFmtId="10" xfId="0" applyFont="1" applyNumberFormat="1"/>
    <xf borderId="33" fillId="7" fontId="12" numFmtId="0" xfId="0" applyAlignment="1" applyBorder="1" applyFill="1" applyFont="1">
      <alignment shrinkToFit="0" vertical="center" wrapText="1"/>
    </xf>
    <xf borderId="27" fillId="0" fontId="13" numFmtId="164" xfId="0" applyAlignment="1" applyBorder="1" applyFont="1" applyNumberFormat="1">
      <alignment horizontal="left" shrinkToFit="0" vertical="center" wrapText="1"/>
    </xf>
    <xf borderId="26" fillId="0" fontId="16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shrinkToFit="0" wrapText="1"/>
    </xf>
    <xf borderId="26" fillId="8" fontId="1" numFmtId="0" xfId="0" applyBorder="1" applyFill="1" applyFont="1"/>
    <xf borderId="26" fillId="0" fontId="16" numFmtId="0" xfId="0" applyAlignment="1" applyBorder="1" applyFont="1">
      <alignment horizontal="center" shrinkToFit="0" vertical="center" wrapText="1"/>
    </xf>
    <xf borderId="12" fillId="0" fontId="17" numFmtId="49" xfId="0" applyAlignment="1" applyBorder="1" applyFont="1" applyNumberFormat="1">
      <alignment horizontal="center" shrinkToFit="1" vertical="center" wrapText="0"/>
    </xf>
    <xf borderId="15" fillId="5" fontId="12" numFmtId="0" xfId="0" applyAlignment="1" applyBorder="1" applyFill="1" applyFont="1">
      <alignment shrinkToFit="0" vertical="center" wrapText="1"/>
    </xf>
    <xf borderId="27" fillId="0" fontId="13" numFmtId="15" xfId="0" applyAlignment="1" applyBorder="1" applyFont="1" applyNumberFormat="1">
      <alignment horizontal="left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6" fillId="8" fontId="6" numFmtId="0" xfId="0" applyAlignment="1" applyBorder="1" applyFill="1" applyFont="1">
      <alignment horizontal="center"/>
    </xf>
    <xf borderId="0" fillId="0" fontId="13" numFmtId="0" xfId="0" applyAlignment="1" applyFont="1">
      <alignment horizontal="center" vertical="center"/>
    </xf>
    <xf borderId="26" fillId="8" fontId="6" numFmtId="10" xfId="0" applyAlignment="1" applyBorder="1" applyFill="1" applyFont="1" applyNumberFormat="1">
      <alignment horizontal="center"/>
    </xf>
    <xf borderId="0" fillId="0" fontId="13" numFmtId="164" xfId="0" applyAlignment="1" applyFont="1" applyNumberFormat="1">
      <alignment vertical="center"/>
    </xf>
    <xf borderId="0" fillId="0" fontId="13" numFmtId="2" xfId="0" applyAlignment="1" applyFont="1" applyNumberFormat="1">
      <alignment vertical="center"/>
    </xf>
    <xf borderId="0" fillId="0" fontId="13" numFmtId="0" xfId="0" applyAlignment="1" applyFont="1">
      <alignment horizontal="left" vertical="center"/>
    </xf>
    <xf borderId="34" fillId="0" fontId="18" numFmtId="0" xfId="0" applyAlignment="1" applyBorder="1" applyFont="1">
      <alignment horizontal="center" shrinkToFit="0" vertical="center" wrapText="1"/>
    </xf>
    <xf borderId="26" fillId="9" fontId="1" numFmtId="0" xfId="0" applyBorder="1" applyFill="1" applyFont="1"/>
    <xf borderId="26" fillId="0" fontId="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35" fillId="5" fontId="14" numFmtId="0" xfId="0" applyAlignment="1" applyBorder="1" applyFill="1" applyFont="1">
      <alignment horizontal="center" shrinkToFit="0" vertical="center" wrapText="1"/>
    </xf>
    <xf borderId="26" fillId="9" fontId="6" numFmtId="0" xfId="0" applyAlignment="1" applyBorder="1" applyFill="1" applyFont="1">
      <alignment horizontal="center"/>
    </xf>
    <xf borderId="26" fillId="5" fontId="14" numFmtId="0" xfId="0" applyAlignment="1" applyBorder="1" applyFill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top" wrapText="1"/>
    </xf>
    <xf borderId="35" fillId="5" fontId="19" numFmtId="0" xfId="0" applyAlignment="1" applyBorder="1" applyFill="1" applyFont="1">
      <alignment horizontal="center" shrinkToFit="0" vertical="center" wrapText="1"/>
    </xf>
    <xf borderId="26" fillId="2" fontId="12" numFmtId="0" xfId="0" applyAlignment="1" applyBorder="1" applyFill="1" applyFont="1">
      <alignment horizontal="left" shrinkToFit="0" vertical="center" wrapText="1"/>
    </xf>
    <xf borderId="35" fillId="5" fontId="14" numFmtId="164" xfId="0" applyAlignment="1" applyBorder="1" applyFill="1" applyFont="1" applyNumberFormat="1">
      <alignment horizontal="center" shrinkToFit="0" vertical="center" wrapText="1"/>
    </xf>
    <xf borderId="26" fillId="9" fontId="6" numFmtId="10" xfId="0" applyAlignment="1" applyBorder="1" applyFill="1" applyFont="1" applyNumberFormat="1">
      <alignment horizontal="center"/>
    </xf>
    <xf borderId="35" fillId="10" fontId="14" numFmtId="2" xfId="0" applyAlignment="1" applyBorder="1" applyFill="1" applyFont="1" applyNumberFormat="1">
      <alignment horizontal="center" shrinkToFit="0" vertical="center" wrapText="1"/>
    </xf>
    <xf borderId="23" fillId="0" fontId="12" numFmtId="0" xfId="0" applyAlignment="1" applyBorder="1" applyFont="1">
      <alignment horizontal="center" shrinkToFit="0" wrapText="1"/>
    </xf>
    <xf borderId="26" fillId="11" fontId="1" numFmtId="0" xfId="0" applyBorder="1" applyFill="1" applyFont="1"/>
    <xf borderId="26" fillId="0" fontId="3" numFmtId="0" xfId="0" applyAlignment="1" applyBorder="1" applyFont="1">
      <alignment horizontal="center" vertical="center"/>
    </xf>
    <xf borderId="26" fillId="0" fontId="16" numFmtId="0" xfId="0" applyAlignment="1" applyBorder="1" applyFont="1">
      <alignment shrinkToFit="0" vertical="center" wrapText="1"/>
    </xf>
    <xf borderId="26" fillId="0" fontId="3" numFmtId="15" xfId="0" applyAlignment="1" applyBorder="1" applyFont="1" applyNumberFormat="1">
      <alignment shrinkToFit="0" vertical="center" wrapText="1"/>
    </xf>
    <xf borderId="26" fillId="0" fontId="3" numFmtId="0" xfId="0" applyAlignment="1" applyBorder="1" applyFont="1">
      <alignment shrinkToFit="0" vertical="center" wrapText="1"/>
    </xf>
    <xf borderId="26" fillId="11" fontId="6" numFmtId="0" xfId="0" applyAlignment="1" applyBorder="1" applyFill="1" applyFont="1">
      <alignment horizontal="center"/>
    </xf>
    <xf borderId="0" fillId="0" fontId="3" numFmtId="0" xfId="0" applyAlignment="1" applyFont="1">
      <alignment horizontal="center" shrinkToFit="0" wrapText="1"/>
    </xf>
    <xf borderId="26" fillId="11" fontId="6" numFmtId="10" xfId="0" applyAlignment="1" applyBorder="1" applyFill="1" applyFont="1" applyNumberFormat="1">
      <alignment horizontal="center"/>
    </xf>
    <xf borderId="26" fillId="12" fontId="1" numFmtId="0" xfId="0" applyBorder="1" applyFill="1" applyFont="1"/>
    <xf borderId="15" fillId="0" fontId="16" numFmtId="0" xfId="0" applyAlignment="1" applyBorder="1" applyFont="1">
      <alignment horizontal="left" shrinkToFit="0" vertical="center" wrapText="1"/>
    </xf>
    <xf borderId="26" fillId="0" fontId="3" numFmtId="1" xfId="0" applyAlignment="1" applyBorder="1" applyFont="1" applyNumberFormat="1">
      <alignment horizontal="center" shrinkToFit="0" vertical="center" wrapText="1"/>
    </xf>
    <xf borderId="26" fillId="12" fontId="6" numFmtId="0" xfId="0" applyAlignment="1" applyBorder="1" applyFill="1" applyFont="1">
      <alignment horizontal="center"/>
    </xf>
    <xf borderId="36" fillId="0" fontId="16" numFmtId="0" xfId="0" applyAlignment="1" applyBorder="1" applyFont="1">
      <alignment horizontal="center" shrinkToFit="0" vertical="center" wrapText="1"/>
    </xf>
    <xf borderId="11" fillId="0" fontId="17" numFmtId="49" xfId="0" applyAlignment="1" applyBorder="1" applyFont="1" applyNumberFormat="1">
      <alignment horizontal="center" shrinkToFit="1" vertical="center" wrapText="0"/>
    </xf>
    <xf borderId="30" fillId="0" fontId="20" numFmtId="0" xfId="0" applyAlignment="1" applyBorder="1" applyFont="1">
      <alignment horizontal="center" shrinkToFit="0" vertical="center" wrapText="1"/>
    </xf>
    <xf borderId="26" fillId="12" fontId="6" numFmtId="10" xfId="0" applyAlignment="1" applyBorder="1" applyFill="1" applyFont="1" applyNumberFormat="1">
      <alignment horizontal="center"/>
    </xf>
    <xf borderId="26" fillId="13" fontId="1" numFmtId="0" xfId="0" applyBorder="1" applyFill="1" applyFont="1"/>
    <xf borderId="5" fillId="0" fontId="16" numFmtId="0" xfId="0" applyAlignment="1" applyBorder="1" applyFont="1">
      <alignment horizontal="left" shrinkToFit="0" vertical="center" wrapText="1"/>
    </xf>
    <xf borderId="26" fillId="13" fontId="6" numFmtId="0" xfId="0" applyAlignment="1" applyBorder="1" applyFill="1" applyFont="1">
      <alignment horizontal="center"/>
    </xf>
    <xf borderId="26" fillId="13" fontId="6" numFmtId="10" xfId="0" applyAlignment="1" applyBorder="1" applyFill="1" applyFont="1" applyNumberFormat="1">
      <alignment horizontal="center"/>
    </xf>
    <xf borderId="15" fillId="0" fontId="3" numFmtId="0" xfId="0" applyAlignment="1" applyBorder="1" applyFont="1">
      <alignment horizontal="center" shrinkToFit="0" vertical="center" wrapText="1"/>
    </xf>
    <xf borderId="26" fillId="2" fontId="6" numFmtId="0" xfId="0" applyBorder="1" applyFill="1" applyFont="1"/>
    <xf borderId="7" fillId="0" fontId="17" numFmtId="49" xfId="0" applyAlignment="1" applyBorder="1" applyFont="1" applyNumberFormat="1">
      <alignment horizontal="center" shrinkToFit="1" vertical="center" wrapText="0"/>
    </xf>
    <xf borderId="15" fillId="5" fontId="12" numFmtId="0" xfId="0" applyAlignment="1" applyBorder="1" applyFill="1" applyFont="1">
      <alignment horizontal="center" shrinkToFit="0" vertical="center" wrapText="1"/>
    </xf>
    <xf borderId="37" fillId="0" fontId="21" numFmtId="0" xfId="0" applyAlignment="1" applyBorder="1" applyFont="1">
      <alignment horizontal="left" shrinkToFit="0" vertical="center" wrapText="1"/>
    </xf>
    <xf borderId="26" fillId="0" fontId="6" numFmtId="0" xfId="0" applyAlignment="1" applyBorder="1" applyFont="1">
      <alignment horizontal="center"/>
    </xf>
    <xf borderId="37" fillId="0" fontId="16" numFmtId="0" xfId="0" applyAlignment="1" applyBorder="1" applyFont="1">
      <alignment horizontal="left" shrinkToFit="0" vertical="center" wrapText="1"/>
    </xf>
    <xf borderId="26" fillId="0" fontId="6" numFmtId="9" xfId="0" applyAlignment="1" applyBorder="1" applyFont="1" applyNumberFormat="1">
      <alignment horizontal="center"/>
    </xf>
    <xf borderId="38" fillId="5" fontId="12" numFmtId="0" xfId="0" applyAlignment="1" applyBorder="1" applyFill="1" applyFont="1">
      <alignment horizontal="left" shrinkToFit="0" vertical="center" wrapText="1"/>
    </xf>
    <xf borderId="26" fillId="0" fontId="17" numFmtId="49" xfId="0" applyAlignment="1" applyBorder="1" applyFont="1" applyNumberFormat="1">
      <alignment horizontal="center" shrinkToFit="1" vertical="center" wrapText="0"/>
    </xf>
    <xf borderId="35" fillId="2" fontId="12" numFmtId="0" xfId="0" applyAlignment="1" applyBorder="1" applyFill="1" applyFont="1">
      <alignment horizontal="left" shrinkToFit="0" vertical="center" wrapText="1"/>
    </xf>
    <xf borderId="26" fillId="10" fontId="6" numFmtId="0" xfId="0" applyAlignment="1" applyBorder="1" applyFill="1" applyFont="1">
      <alignment horizontal="left"/>
    </xf>
    <xf borderId="37" fillId="0" fontId="5" numFmtId="0" xfId="0" applyBorder="1" applyFont="1"/>
    <xf borderId="27" fillId="10" fontId="6" numFmtId="10" xfId="0" applyAlignment="1" applyBorder="1" applyFill="1" applyFont="1" applyNumberFormat="1">
      <alignment horizontal="center" shrinkToFit="0" wrapText="1"/>
    </xf>
    <xf borderId="1" fillId="2" fontId="3" numFmtId="0" xfId="0" applyAlignment="1" applyBorder="1" applyFill="1" applyFont="1">
      <alignment horizontal="center" vertical="center"/>
    </xf>
    <xf borderId="0" fillId="0" fontId="17" numFmtId="49" xfId="0" applyAlignment="1" applyFont="1" applyNumberFormat="1">
      <alignment horizontal="center" shrinkToFit="1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5" fillId="0" fontId="3" numFmtId="1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3" numFmtId="164" xfId="0" applyAlignment="1" applyFont="1" applyNumberFormat="1">
      <alignment horizontal="center" shrinkToFit="0" vertical="center" wrapText="1"/>
    </xf>
    <xf borderId="1" fillId="2" fontId="12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3" numFmtId="1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39" fillId="5" fontId="12" numFmtId="0" xfId="0" applyAlignment="1" applyBorder="1" applyFill="1" applyFont="1">
      <alignment horizontal="left" shrinkToFit="0" vertical="center" wrapText="1"/>
    </xf>
    <xf borderId="40" fillId="6" fontId="21" numFmtId="0" xfId="0" applyAlignment="1" applyBorder="1" applyFill="1" applyFont="1">
      <alignment horizontal="center" shrinkToFit="0" vertical="center" wrapText="1"/>
    </xf>
    <xf borderId="40" fillId="6" fontId="22" numFmtId="0" xfId="0" applyAlignment="1" applyBorder="1" applyFill="1" applyFont="1">
      <alignment horizontal="center" shrinkToFit="0" vertical="center" wrapText="1"/>
    </xf>
    <xf borderId="26" fillId="10" fontId="23" numFmtId="0" xfId="0" applyAlignment="1" applyBorder="1" applyFill="1" applyFont="1">
      <alignment vertical="center"/>
    </xf>
    <xf borderId="26" fillId="10" fontId="23" numFmtId="0" xfId="0" applyAlignment="1" applyBorder="1" applyFill="1" applyFont="1">
      <alignment shrinkToFit="0" vertical="center" wrapText="1"/>
    </xf>
    <xf borderId="26" fillId="10" fontId="23" numFmtId="0" xfId="0" applyAlignment="1" applyBorder="1" applyFill="1" applyFont="1">
      <alignment horizontal="center" shrinkToFit="0" vertical="center" wrapText="1"/>
    </xf>
    <xf borderId="26" fillId="2" fontId="18" numFmtId="0" xfId="0" applyAlignment="1" applyBorder="1" applyFill="1" applyFont="1">
      <alignment horizontal="left" shrinkToFit="0" vertical="center" wrapText="1"/>
    </xf>
    <xf borderId="26" fillId="2" fontId="18" numFmtId="0" xfId="0" applyAlignment="1" applyBorder="1" applyFill="1" applyFont="1">
      <alignment horizontal="center" shrinkToFit="0" vertical="center" wrapText="1"/>
    </xf>
    <xf quotePrefix="1" borderId="26" fillId="2" fontId="18" numFmtId="165" xfId="0" applyAlignment="1" applyBorder="1" applyFill="1" applyFont="1" applyNumberFormat="1">
      <alignment horizontal="center" shrinkToFit="0" vertical="center" wrapText="1"/>
    </xf>
    <xf borderId="26" fillId="14" fontId="24" numFmtId="0" xfId="0" applyAlignment="1" applyBorder="1" applyFill="1" applyFont="1">
      <alignment horizontal="center" readingOrder="0" vertical="center"/>
    </xf>
    <xf borderId="33" fillId="0" fontId="24" numFmtId="0" xfId="0" applyAlignment="1" applyBorder="1" applyFont="1">
      <alignment horizontal="center" readingOrder="0" shrinkToFit="0" vertical="center" wrapText="1"/>
    </xf>
    <xf borderId="30" fillId="0" fontId="24" numFmtId="166" xfId="0" applyAlignment="1" applyBorder="1" applyFont="1" applyNumberFormat="1">
      <alignment horizontal="center" vertical="center"/>
    </xf>
    <xf borderId="26" fillId="2" fontId="18" numFmtId="0" xfId="0" applyAlignment="1" applyBorder="1" applyFill="1" applyFont="1">
      <alignment vertical="center"/>
    </xf>
    <xf borderId="26" fillId="2" fontId="18" numFmtId="0" xfId="0" applyAlignment="1" applyBorder="1" applyFill="1" applyFont="1">
      <alignment shrinkToFit="0" vertical="center" wrapText="1"/>
    </xf>
    <xf quotePrefix="1" borderId="26" fillId="2" fontId="18" numFmtId="0" xfId="0" applyAlignment="1" applyBorder="1" applyFill="1" applyFont="1">
      <alignment horizontal="left" shrinkToFit="0" vertical="center" wrapText="1"/>
    </xf>
    <xf borderId="26" fillId="14" fontId="18" numFmtId="0" xfId="0" applyAlignment="1" applyBorder="1" applyFill="1" applyFont="1">
      <alignment horizontal="left" shrinkToFit="0" vertical="center" wrapText="1"/>
    </xf>
    <xf borderId="26" fillId="14" fontId="18" numFmtId="0" xfId="0" applyAlignment="1" applyBorder="1" applyFill="1" applyFont="1">
      <alignment horizontal="center" shrinkToFit="0" vertical="center" wrapText="1"/>
    </xf>
    <xf quotePrefix="1" borderId="26" fillId="14" fontId="18" numFmtId="165" xfId="0" applyAlignment="1" applyBorder="1" applyFill="1" applyFont="1" applyNumberFormat="1">
      <alignment horizontal="center" shrinkToFit="0" vertical="center" wrapText="1"/>
    </xf>
    <xf borderId="26" fillId="14" fontId="18" numFmtId="0" xfId="0" applyAlignment="1" applyBorder="1" applyFill="1" applyFont="1">
      <alignment shrinkToFit="0" vertical="center" wrapText="1"/>
    </xf>
    <xf borderId="33" fillId="14" fontId="24" numFmtId="0" xfId="0" applyAlignment="1" applyBorder="1" applyFill="1" applyFont="1">
      <alignment horizontal="center" readingOrder="0" shrinkToFit="0" vertical="center" wrapText="1"/>
    </xf>
    <xf borderId="33" fillId="14" fontId="24" numFmtId="0" xfId="0" applyAlignment="1" applyBorder="1" applyFill="1" applyFont="1">
      <alignment horizontal="center" readingOrder="0" shrinkToFit="0" vertical="center" wrapText="1"/>
    </xf>
    <xf borderId="26" fillId="10" fontId="18" numFmtId="0" xfId="0" applyAlignment="1" applyBorder="1" applyFill="1" applyFont="1">
      <alignment horizontal="left" shrinkToFit="0" vertical="center" wrapText="1"/>
    </xf>
    <xf borderId="26" fillId="10" fontId="18" numFmtId="0" xfId="0" applyAlignment="1" applyBorder="1" applyFill="1" applyFont="1">
      <alignment horizontal="center" shrinkToFit="0" vertical="center" wrapText="1"/>
    </xf>
    <xf quotePrefix="1" borderId="26" fillId="10" fontId="18" numFmtId="165" xfId="0" applyAlignment="1" applyBorder="1" applyFill="1" applyFont="1" applyNumberFormat="1">
      <alignment horizontal="center" shrinkToFit="0" vertical="center" wrapText="1"/>
    </xf>
    <xf quotePrefix="1" borderId="26" fillId="10" fontId="18" numFmtId="0" xfId="0" applyAlignment="1" applyBorder="1" applyFill="1" applyFont="1">
      <alignment horizontal="left" shrinkToFit="0" vertical="center" wrapText="1"/>
    </xf>
    <xf borderId="26" fillId="10" fontId="24" numFmtId="0" xfId="0" applyAlignment="1" applyBorder="1" applyFill="1" applyFont="1">
      <alignment horizontal="center" readingOrder="0" vertical="center"/>
    </xf>
    <xf borderId="33" fillId="10" fontId="24" numFmtId="0" xfId="0" applyAlignment="1" applyBorder="1" applyFill="1" applyFont="1">
      <alignment horizontal="center" readingOrder="0" shrinkToFit="0" vertical="center" wrapText="1"/>
    </xf>
    <xf borderId="33" fillId="10" fontId="24" numFmtId="166" xfId="0" applyAlignment="1" applyBorder="1" applyFill="1" applyFont="1" applyNumberFormat="1">
      <alignment horizontal="center" vertical="center"/>
    </xf>
    <xf borderId="26" fillId="10" fontId="18" numFmtId="0" xfId="0" applyAlignment="1" applyBorder="1" applyFill="1" applyFont="1">
      <alignment vertical="center"/>
    </xf>
    <xf borderId="26" fillId="10" fontId="18" numFmtId="0" xfId="0" applyAlignment="1" applyBorder="1" applyFill="1" applyFont="1">
      <alignment shrinkToFit="0" vertical="center" wrapText="1"/>
    </xf>
    <xf borderId="26" fillId="10" fontId="18" numFmtId="0" xfId="0" applyAlignment="1" applyBorder="1" applyFill="1" applyFont="1">
      <alignment horizontal="left" vertical="center"/>
    </xf>
    <xf borderId="26" fillId="2" fontId="18" numFmtId="0" xfId="0" applyAlignment="1" applyBorder="1" applyFill="1" applyFont="1">
      <alignment horizontal="left" readingOrder="0" vertical="center"/>
    </xf>
    <xf borderId="26" fillId="2" fontId="18" numFmtId="0" xfId="0" applyAlignment="1" applyBorder="1" applyFill="1" applyFont="1">
      <alignment horizontal="left" vertical="center"/>
    </xf>
    <xf borderId="26" fillId="2" fontId="18" numFmtId="165" xfId="0" applyAlignment="1" applyBorder="1" applyFill="1" applyFont="1" applyNumberFormat="1">
      <alignment horizontal="center" readingOrder="0" shrinkToFit="0" vertical="center" wrapText="1"/>
    </xf>
    <xf borderId="26" fillId="2" fontId="18" numFmtId="0" xfId="0" applyAlignment="1" applyBorder="1" applyFill="1" applyFont="1">
      <alignment readingOrder="0" shrinkToFit="0" vertical="center" wrapText="1"/>
    </xf>
    <xf borderId="26" fillId="14" fontId="18" numFmtId="165" xfId="0" applyAlignment="1" applyBorder="1" applyFill="1" applyFont="1" applyNumberFormat="1">
      <alignment horizontal="center" readingOrder="0" shrinkToFit="0" vertical="center" wrapText="1"/>
    </xf>
    <xf borderId="26" fillId="14" fontId="18" numFmtId="0" xfId="0" applyAlignment="1" applyBorder="1" applyFill="1" applyFont="1">
      <alignment horizontal="left" readingOrder="0" vertical="center"/>
    </xf>
    <xf borderId="26" fillId="0" fontId="18" numFmtId="0" xfId="0" applyAlignment="1" applyBorder="1" applyFont="1">
      <alignment vertical="center"/>
    </xf>
    <xf borderId="26" fillId="0" fontId="18" numFmtId="0" xfId="0" applyAlignment="1" applyBorder="1" applyFont="1">
      <alignment readingOrder="0" shrinkToFit="0" vertical="center" wrapText="1"/>
    </xf>
    <xf borderId="26" fillId="0" fontId="18" numFmtId="0" xfId="0" applyAlignment="1" applyBorder="1" applyFont="1">
      <alignment shrinkToFit="0" vertical="center" wrapText="1"/>
    </xf>
    <xf borderId="33" fillId="14" fontId="24" numFmtId="0" xfId="0" applyAlignment="1" applyBorder="1" applyFill="1" applyFont="1">
      <alignment horizontal="left" readingOrder="0" shrinkToFit="0" vertical="center" wrapText="1"/>
    </xf>
    <xf borderId="26" fillId="10" fontId="18" numFmtId="165" xfId="0" applyAlignment="1" applyBorder="1" applyFill="1" applyFont="1" applyNumberFormat="1">
      <alignment horizontal="center" readingOrder="0" shrinkToFit="0" vertical="center" wrapText="1"/>
    </xf>
    <xf borderId="26" fillId="10" fontId="18" numFmtId="0" xfId="0" applyAlignment="1" applyBorder="1" applyFill="1" applyFont="1">
      <alignment readingOrder="0" shrinkToFit="0" vertical="center" wrapText="1"/>
    </xf>
    <xf borderId="30" fillId="10" fontId="24" numFmtId="166" xfId="0" applyAlignment="1" applyBorder="1" applyFill="1" applyFont="1" applyNumberFormat="1">
      <alignment horizontal="center" vertical="center"/>
    </xf>
    <xf borderId="26" fillId="15" fontId="18" numFmtId="0" xfId="0" applyAlignment="1" applyBorder="1" applyFill="1" applyFont="1">
      <alignment vertical="center"/>
    </xf>
    <xf borderId="26" fillId="15" fontId="18" numFmtId="0" xfId="0" applyAlignment="1" applyBorder="1" applyFill="1" applyFont="1">
      <alignment horizontal="center" vertical="center"/>
    </xf>
    <xf quotePrefix="1" borderId="26" fillId="15" fontId="18" numFmtId="165" xfId="0" applyAlignment="1" applyBorder="1" applyFill="1" applyFont="1" applyNumberFormat="1">
      <alignment horizontal="center" shrinkToFit="0" vertical="center" wrapText="1"/>
    </xf>
    <xf borderId="26" fillId="15" fontId="18" numFmtId="0" xfId="0" applyAlignment="1" applyBorder="1" applyFill="1" applyFont="1">
      <alignment shrinkToFit="0" vertical="center" wrapText="1"/>
    </xf>
    <xf borderId="26" fillId="15" fontId="24" numFmtId="0" xfId="0" applyAlignment="1" applyBorder="1" applyFill="1" applyFont="1">
      <alignment horizontal="center" readingOrder="0" vertical="center"/>
    </xf>
    <xf borderId="33" fillId="15" fontId="24" numFmtId="0" xfId="0" applyAlignment="1" applyBorder="1" applyFill="1" applyFont="1">
      <alignment horizontal="center" shrinkToFit="0" vertical="center" wrapText="1"/>
    </xf>
    <xf borderId="33" fillId="15" fontId="24" numFmtId="166" xfId="0" applyAlignment="1" applyBorder="1" applyFill="1" applyFont="1" applyNumberFormat="1">
      <alignment horizontal="center" vertical="center"/>
    </xf>
    <xf borderId="26" fillId="15" fontId="18" numFmtId="0" xfId="0" applyAlignment="1" applyBorder="1" applyFill="1" applyFont="1">
      <alignment horizontal="center" shrinkToFit="0" vertical="center" wrapText="1"/>
    </xf>
    <xf borderId="26" fillId="15" fontId="18" numFmtId="0" xfId="0" applyAlignment="1" applyBorder="1" applyFill="1" applyFont="1">
      <alignment horizontal="left" shrinkToFit="0" vertical="center" wrapText="1"/>
    </xf>
    <xf borderId="35" fillId="15" fontId="18" numFmtId="0" xfId="0" applyAlignment="1" applyBorder="1" applyFill="1" applyFont="1">
      <alignment shrinkToFit="0" vertical="center" wrapText="1"/>
    </xf>
    <xf borderId="35" fillId="15" fontId="18" numFmtId="0" xfId="0" applyAlignment="1" applyBorder="1" applyFill="1" applyFont="1">
      <alignment horizontal="left" shrinkToFit="0" vertical="center" wrapText="1"/>
    </xf>
    <xf borderId="35" fillId="15" fontId="18" numFmtId="0" xfId="0" applyAlignment="1" applyBorder="1" applyFill="1" applyFont="1">
      <alignment horizontal="center" shrinkToFit="0" vertical="center" wrapText="1"/>
    </xf>
    <xf borderId="26" fillId="15" fontId="24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1" fillId="2" fontId="21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center" shrinkToFit="0" wrapText="1"/>
    </xf>
    <xf borderId="0" fillId="0" fontId="21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top" wrapText="1"/>
    </xf>
    <xf borderId="1" fillId="14" fontId="16" numFmtId="15" xfId="0" applyAlignment="1" applyBorder="1" applyFill="1" applyFont="1" applyNumberFormat="1">
      <alignment horizontal="center" shrinkToFit="0" vertical="center" wrapText="1"/>
    </xf>
    <xf borderId="0" fillId="0" fontId="25" numFmtId="0" xfId="0" applyAlignment="1" applyFont="1">
      <alignment horizontal="left" vertical="top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7" xfId="0" applyAlignment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left" vertical="center"/>
    </xf>
    <xf borderId="1" fillId="2" fontId="25" numFmtId="0" xfId="0" applyAlignment="1" applyBorder="1" applyFill="1" applyFont="1">
      <alignment horizontal="left" vertical="top"/>
    </xf>
    <xf borderId="2" fillId="2" fontId="26" numFmtId="0" xfId="0" applyAlignment="1" applyBorder="1" applyFill="1" applyFont="1">
      <alignment horizontal="center" shrinkToFit="0" vertical="center" wrapText="1"/>
    </xf>
    <xf borderId="26" fillId="10" fontId="6" numFmtId="0" xfId="0" applyAlignment="1" applyBorder="1" applyFill="1" applyFont="1">
      <alignment horizontal="center" shrinkToFit="0" vertical="center" wrapText="1"/>
    </xf>
    <xf borderId="15" fillId="0" fontId="1" numFmtId="15" xfId="0" applyAlignment="1" applyBorder="1" applyFont="1" applyNumberFormat="1">
      <alignment horizontal="lef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shrinkToFit="0" vertical="center" wrapText="1"/>
    </xf>
    <xf borderId="26" fillId="6" fontId="19" numFmtId="0" xfId="0" applyAlignment="1" applyBorder="1" applyFill="1" applyFont="1">
      <alignment horizontal="center" shrinkToFit="0" vertical="center" wrapText="1"/>
    </xf>
    <xf borderId="27" fillId="16" fontId="15" numFmtId="0" xfId="0" applyAlignment="1" applyBorder="1" applyFill="1" applyFont="1">
      <alignment horizontal="left" shrinkToFit="0" vertical="center" wrapText="1"/>
    </xf>
    <xf borderId="32" fillId="16" fontId="12" numFmtId="0" xfId="0" applyAlignment="1" applyBorder="1" applyFill="1" applyFont="1">
      <alignment shrinkToFit="0" vertical="center" wrapText="1"/>
    </xf>
    <xf borderId="33" fillId="16" fontId="12" numFmtId="0" xfId="0" applyAlignment="1" applyBorder="1" applyFill="1" applyFont="1">
      <alignment shrinkToFit="0" vertical="center" wrapText="1"/>
    </xf>
    <xf borderId="26" fillId="0" fontId="18" numFmtId="0" xfId="0" applyAlignment="1" applyBorder="1" applyFont="1">
      <alignment horizontal="left" shrinkToFit="0" vertical="center" wrapText="1"/>
    </xf>
    <xf borderId="26" fillId="0" fontId="24" numFmtId="0" xfId="0" applyAlignment="1" applyBorder="1" applyFont="1">
      <alignment horizontal="left" shrinkToFit="0" vertical="center" wrapText="1"/>
    </xf>
    <xf borderId="26" fillId="2" fontId="1" numFmtId="0" xfId="0" applyBorder="1" applyFill="1" applyFont="1"/>
    <xf borderId="30" fillId="0" fontId="24" numFmtId="49" xfId="0" applyAlignment="1" applyBorder="1" applyFont="1" applyNumberFormat="1">
      <alignment horizontal="center" shrinkToFit="1" vertical="center" wrapText="0"/>
    </xf>
    <xf borderId="26" fillId="14" fontId="18" numFmtId="15" xfId="0" applyAlignment="1" applyBorder="1" applyFill="1" applyFont="1" applyNumberFormat="1">
      <alignment horizontal="center" shrinkToFit="0" vertical="center" wrapText="1"/>
    </xf>
    <xf borderId="36" fillId="0" fontId="18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1685925</xdr:colOff>
      <xdr:row>1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1685925</xdr:colOff>
      <xdr:row>9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1562100" cy="552450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2457450" cy="314325"/>
    <xdr:sp>
      <xdr:nvSpPr>
        <xdr:cNvPr descr="Displaying image.png" id="3" name="Shape 3"/>
        <xdr:cNvSpPr/>
      </xdr:nvSpPr>
      <xdr:spPr>
        <a:xfrm>
          <a:off x="4122038" y="3627600"/>
          <a:ext cx="24479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676275</xdr:colOff>
      <xdr:row>1</xdr:row>
      <xdr:rowOff>38100</xdr:rowOff>
    </xdr:from>
    <xdr:ext cx="2000250" cy="647700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1</xdr:row>
      <xdr:rowOff>28575</xdr:rowOff>
    </xdr:from>
    <xdr:ext cx="2276475" cy="790575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</xdr:row>
      <xdr:rowOff>28575</xdr:rowOff>
    </xdr:from>
    <xdr:ext cx="2276475" cy="790575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1.86"/>
    <col customWidth="1" min="3" max="3" width="41.86"/>
    <col customWidth="1" min="4" max="4" width="25.14"/>
    <col customWidth="1" min="5" max="5" width="45.86"/>
    <col customWidth="1" min="6" max="6" width="67.14"/>
    <col customWidth="1" min="7" max="7" width="65.14"/>
    <col customWidth="1" min="8" max="8" width="35.14"/>
    <col customWidth="1" min="9" max="9" width="62.57"/>
    <col customWidth="1" min="10" max="10" width="29.57"/>
    <col customWidth="1" min="11" max="11" width="25.43"/>
    <col customWidth="1" min="12" max="12" width="27.14"/>
    <col customWidth="1" min="13" max="13" width="21.43"/>
    <col customWidth="1" min="14" max="14" width="29.57"/>
    <col customWidth="1" min="15" max="15" width="31.29"/>
    <col customWidth="1" hidden="1" min="16" max="16" width="21.14"/>
    <col customWidth="1" min="17" max="20" width="21.14"/>
    <col customWidth="1" min="21" max="21" width="25.29"/>
    <col customWidth="1" min="22" max="22" width="6.86"/>
    <col customWidth="1" min="23" max="28" width="8.0"/>
  </cols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customHeight="1">
      <c r="A2" s="5"/>
      <c r="B2" s="17" t="s">
        <v>1</v>
      </c>
      <c r="C2" s="14"/>
      <c r="D2" s="14"/>
      <c r="E2" s="14"/>
      <c r="F2" s="14"/>
      <c r="G2" s="14"/>
      <c r="H2" s="14"/>
      <c r="I2" s="14"/>
      <c r="J2" s="14"/>
      <c r="K2" s="23"/>
      <c r="L2" s="25"/>
      <c r="M2" s="28"/>
      <c r="N2" s="28"/>
      <c r="O2" s="28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5"/>
      <c r="B3" s="32"/>
      <c r="K3" s="1"/>
      <c r="L3" s="35"/>
      <c r="M3" s="28"/>
      <c r="N3" s="28"/>
      <c r="O3" s="28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39.0" customHeight="1">
      <c r="A4" s="5"/>
      <c r="B4" s="19"/>
      <c r="C4" s="20"/>
      <c r="D4" s="20"/>
      <c r="E4" s="20"/>
      <c r="F4" s="20"/>
      <c r="G4" s="20"/>
      <c r="H4" s="20"/>
      <c r="I4" s="20"/>
      <c r="J4" s="20"/>
      <c r="K4" s="42"/>
      <c r="L4" s="43"/>
      <c r="M4" s="28"/>
      <c r="N4" s="28"/>
      <c r="O4" s="2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29.25" customHeight="1">
      <c r="A5" s="5"/>
      <c r="B5" s="5"/>
      <c r="C5" s="46"/>
      <c r="D5" s="47"/>
      <c r="E5" s="47"/>
      <c r="F5" s="46"/>
      <c r="G5" s="46"/>
      <c r="H5" s="46"/>
      <c r="I5" s="46"/>
      <c r="J5" s="46"/>
      <c r="K5" s="46"/>
      <c r="L5" s="46"/>
      <c r="M5" s="46"/>
      <c r="N5" s="5"/>
      <c r="O5" s="5"/>
      <c r="P5" s="5" t="s">
        <v>11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45.75" customHeight="1">
      <c r="A6" s="5"/>
      <c r="B6" s="51" t="s">
        <v>14</v>
      </c>
      <c r="C6" s="55" t="s">
        <v>15</v>
      </c>
      <c r="D6" s="59" t="s">
        <v>26</v>
      </c>
      <c r="E6" s="62" t="s">
        <v>30</v>
      </c>
      <c r="F6" s="66" t="s">
        <v>31</v>
      </c>
      <c r="G6" s="59" t="s">
        <v>35</v>
      </c>
      <c r="H6" s="62" t="s">
        <v>37</v>
      </c>
      <c r="I6" s="73" t="s">
        <v>31</v>
      </c>
      <c r="J6" s="77" t="s">
        <v>41</v>
      </c>
      <c r="K6" s="62" t="s">
        <v>44</v>
      </c>
      <c r="L6" s="6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"/>
      <c r="Z6" s="1"/>
      <c r="AA6" s="1"/>
      <c r="AB6" s="1"/>
    </row>
    <row r="7" ht="45.75" customHeight="1">
      <c r="A7" s="5"/>
      <c r="B7" s="51" t="s">
        <v>13</v>
      </c>
      <c r="C7" s="95" t="s">
        <v>59</v>
      </c>
      <c r="D7" s="36"/>
      <c r="E7" s="36"/>
      <c r="F7" s="36"/>
      <c r="G7" s="36"/>
      <c r="H7" s="36"/>
      <c r="I7" s="19"/>
      <c r="J7" s="36"/>
      <c r="K7" s="36"/>
      <c r="L7" s="99" t="s">
        <v>31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"/>
      <c r="Z7" s="1"/>
      <c r="AA7" s="1"/>
      <c r="AB7" s="1"/>
    </row>
    <row r="8" ht="45.0" customHeight="1">
      <c r="A8" s="5"/>
      <c r="B8" s="51" t="s">
        <v>75</v>
      </c>
      <c r="C8" s="103" t="s">
        <v>45</v>
      </c>
      <c r="M8" s="10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"/>
      <c r="AB8" s="1"/>
    </row>
    <row r="9" ht="4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5"/>
      <c r="B10" s="17" t="s">
        <v>85</v>
      </c>
      <c r="C10" s="14"/>
      <c r="D10" s="14"/>
      <c r="E10" s="14"/>
      <c r="F10" s="14"/>
      <c r="G10" s="14"/>
      <c r="H10" s="14"/>
      <c r="I10" s="14"/>
      <c r="J10" s="14"/>
      <c r="K10" s="23"/>
      <c r="L10" s="25"/>
      <c r="M10" s="28"/>
      <c r="N10" s="28"/>
      <c r="O10" s="2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8.75" customHeight="1">
      <c r="A11" s="5"/>
      <c r="B11" s="32"/>
      <c r="K11" s="1"/>
      <c r="L11" s="35"/>
      <c r="M11" s="28"/>
      <c r="N11" s="28"/>
      <c r="O11" s="2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39.0" customHeight="1">
      <c r="A12" s="5"/>
      <c r="B12" s="19"/>
      <c r="C12" s="20"/>
      <c r="D12" s="20"/>
      <c r="E12" s="20"/>
      <c r="F12" s="20"/>
      <c r="G12" s="20"/>
      <c r="H12" s="20"/>
      <c r="I12" s="20"/>
      <c r="J12" s="20"/>
      <c r="K12" s="42"/>
      <c r="L12" s="43"/>
      <c r="M12" s="28"/>
      <c r="N12" s="28"/>
      <c r="O12" s="2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9.25" customHeight="1">
      <c r="A13" s="5"/>
      <c r="B13" s="5"/>
      <c r="C13" s="46"/>
      <c r="D13" s="47"/>
      <c r="E13" s="47"/>
      <c r="F13" s="46"/>
      <c r="G13" s="46"/>
      <c r="H13" s="46"/>
      <c r="I13" s="46"/>
      <c r="J13" s="46"/>
      <c r="K13" s="46"/>
      <c r="L13" s="46"/>
      <c r="M13" s="46"/>
      <c r="N13" s="5"/>
      <c r="O13" s="5"/>
      <c r="P13" s="5" t="s">
        <v>11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45.75" customHeight="1">
      <c r="A14" s="5"/>
      <c r="B14" s="51" t="s">
        <v>14</v>
      </c>
      <c r="C14" s="55" t="s">
        <v>15</v>
      </c>
      <c r="D14" s="59" t="s">
        <v>26</v>
      </c>
      <c r="E14" s="62" t="s">
        <v>97</v>
      </c>
      <c r="F14" s="66" t="s">
        <v>31</v>
      </c>
      <c r="G14" s="59" t="s">
        <v>35</v>
      </c>
      <c r="H14" s="120" t="s">
        <v>104</v>
      </c>
      <c r="I14" s="73" t="s">
        <v>31</v>
      </c>
      <c r="J14" s="123" t="s">
        <v>41</v>
      </c>
      <c r="K14" s="120" t="s">
        <v>110</v>
      </c>
      <c r="L14" s="66" t="s">
        <v>31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1"/>
      <c r="AA14" s="1"/>
      <c r="AB14" s="1"/>
    </row>
    <row r="15" ht="45.75" customHeight="1">
      <c r="A15" s="5"/>
      <c r="B15" s="128" t="s">
        <v>13</v>
      </c>
      <c r="C15" s="130" t="s">
        <v>59</v>
      </c>
      <c r="D15" s="36"/>
      <c r="E15" s="36"/>
      <c r="F15" s="36"/>
      <c r="G15" s="36"/>
      <c r="H15" s="36"/>
      <c r="I15" s="19"/>
      <c r="J15" s="132"/>
      <c r="K15" s="132"/>
      <c r="L15" s="13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/>
      <c r="Z15" s="1"/>
      <c r="AA15" s="1"/>
      <c r="AB15" s="1"/>
    </row>
    <row r="16" ht="45.75" customHeight="1">
      <c r="A16" s="5"/>
      <c r="B16" s="123" t="s">
        <v>75</v>
      </c>
      <c r="C16" s="138" t="s">
        <v>45</v>
      </c>
      <c r="D16" s="141"/>
      <c r="E16" s="137"/>
      <c r="F16" s="46"/>
      <c r="G16" s="146" t="s">
        <v>35</v>
      </c>
      <c r="H16" s="120" t="s">
        <v>115</v>
      </c>
      <c r="I16" s="73" t="s">
        <v>31</v>
      </c>
      <c r="J16" s="132"/>
      <c r="K16" s="132"/>
      <c r="L16" s="13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/>
      <c r="Z16" s="1"/>
      <c r="AA16" s="1"/>
      <c r="AB16" s="1"/>
    </row>
    <row r="17" ht="45.75" customHeight="1">
      <c r="A17" s="5"/>
      <c r="B17" s="36"/>
      <c r="C17" s="36"/>
      <c r="D17" s="141"/>
      <c r="E17" s="137"/>
      <c r="F17" s="46"/>
      <c r="G17" s="19"/>
      <c r="H17" s="36"/>
      <c r="I17" s="19"/>
      <c r="J17" s="132"/>
      <c r="K17" s="132"/>
      <c r="L17" s="13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  <c r="AA17" s="1"/>
      <c r="AB17" s="1"/>
    </row>
    <row r="18" ht="45.75" customHeight="1">
      <c r="A18" s="5"/>
      <c r="B18" s="141"/>
      <c r="C18" s="141"/>
      <c r="D18" s="141"/>
      <c r="E18" s="137"/>
      <c r="F18" s="46"/>
      <c r="G18" s="146" t="s">
        <v>35</v>
      </c>
      <c r="H18" s="120" t="s">
        <v>117</v>
      </c>
      <c r="I18" s="73" t="s">
        <v>31</v>
      </c>
      <c r="J18" s="132"/>
      <c r="K18" s="132"/>
      <c r="L18" s="13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/>
      <c r="Z18" s="1"/>
      <c r="AA18" s="1"/>
      <c r="AB18" s="1"/>
    </row>
    <row r="19" ht="45.75" customHeight="1">
      <c r="A19" s="5"/>
      <c r="B19" s="141"/>
      <c r="C19" s="141"/>
      <c r="D19" s="141"/>
      <c r="E19" s="137"/>
      <c r="F19" s="46"/>
      <c r="G19" s="19"/>
      <c r="H19" s="36"/>
      <c r="I19" s="19"/>
      <c r="J19" s="36"/>
      <c r="K19" s="36"/>
      <c r="L19" s="3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/>
      <c r="Z19" s="1"/>
      <c r="AA19" s="1"/>
      <c r="AB19" s="1"/>
    </row>
    <row r="20" ht="4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46.5" customHeight="1">
      <c r="A21" s="106"/>
      <c r="B21" s="147" t="s">
        <v>13</v>
      </c>
      <c r="C21" s="147" t="s">
        <v>16</v>
      </c>
      <c r="D21" s="147" t="s">
        <v>17</v>
      </c>
      <c r="E21" s="147" t="s">
        <v>18</v>
      </c>
      <c r="F21" s="147" t="s">
        <v>19</v>
      </c>
      <c r="G21" s="147" t="s">
        <v>118</v>
      </c>
      <c r="H21" s="147" t="s">
        <v>22</v>
      </c>
      <c r="I21" s="148" t="s">
        <v>119</v>
      </c>
      <c r="J21" s="147" t="s">
        <v>24</v>
      </c>
      <c r="K21" s="147" t="s">
        <v>120</v>
      </c>
      <c r="L21" s="147" t="s">
        <v>25</v>
      </c>
      <c r="M21" s="106"/>
      <c r="N21" s="106"/>
      <c r="O21" s="106"/>
      <c r="P21" s="106"/>
      <c r="Q21" s="5"/>
      <c r="R21" s="106"/>
      <c r="S21" s="106"/>
      <c r="T21" s="106"/>
      <c r="U21" s="106"/>
      <c r="V21" s="106"/>
      <c r="W21" s="106"/>
      <c r="X21" s="106"/>
      <c r="Y21" s="106"/>
      <c r="Z21" s="1"/>
      <c r="AA21" s="1"/>
      <c r="AB21" s="1"/>
    </row>
    <row r="22" ht="32.25" customHeight="1">
      <c r="A22" s="106"/>
      <c r="B22" s="149" t="s">
        <v>121</v>
      </c>
      <c r="C22" s="150"/>
      <c r="D22" s="150"/>
      <c r="E22" s="151"/>
      <c r="F22" s="150"/>
      <c r="G22" s="150"/>
      <c r="H22" s="150"/>
      <c r="I22" s="150"/>
      <c r="J22" s="150"/>
      <c r="K22" s="150"/>
      <c r="L22" s="150"/>
      <c r="M22" s="106"/>
      <c r="N22" s="106"/>
      <c r="O22" s="106"/>
      <c r="P22" s="106"/>
      <c r="Q22" s="5"/>
      <c r="R22" s="106"/>
      <c r="S22" s="106"/>
      <c r="T22" s="106"/>
      <c r="U22" s="106"/>
      <c r="V22" s="106"/>
      <c r="W22" s="106"/>
      <c r="X22" s="106"/>
      <c r="Y22" s="106"/>
      <c r="Z22" s="1"/>
      <c r="AA22" s="1"/>
      <c r="AB22" s="1"/>
    </row>
    <row r="23" ht="15.75" customHeight="1">
      <c r="A23" s="106"/>
      <c r="B23" s="152" t="s">
        <v>62</v>
      </c>
      <c r="C23" s="152" t="s">
        <v>122</v>
      </c>
      <c r="D23" s="153">
        <v>1.0</v>
      </c>
      <c r="E23" s="154" t="s">
        <v>123</v>
      </c>
      <c r="F23" s="152" t="s">
        <v>124</v>
      </c>
      <c r="G23" s="152" t="s">
        <v>125</v>
      </c>
      <c r="H23" s="155" t="s">
        <v>73</v>
      </c>
      <c r="I23" s="156" t="s">
        <v>126</v>
      </c>
      <c r="J23" s="157"/>
      <c r="K23" s="153" t="s">
        <v>54</v>
      </c>
      <c r="L23" s="153"/>
      <c r="M23" s="106"/>
      <c r="N23" s="106"/>
      <c r="O23" s="106"/>
      <c r="P23" s="106"/>
      <c r="Q23" s="5"/>
      <c r="R23" s="106"/>
      <c r="S23" s="106"/>
      <c r="T23" s="106"/>
      <c r="U23" s="106"/>
      <c r="V23" s="106"/>
      <c r="W23" s="106"/>
      <c r="X23" s="106"/>
      <c r="Y23" s="106"/>
      <c r="Z23" s="1"/>
      <c r="AA23" s="1"/>
      <c r="AB23" s="1"/>
    </row>
    <row r="24" ht="15.75" customHeight="1">
      <c r="A24" s="106"/>
      <c r="B24" s="152" t="s">
        <v>62</v>
      </c>
      <c r="C24" s="152" t="s">
        <v>122</v>
      </c>
      <c r="D24" s="153"/>
      <c r="E24" s="154" t="s">
        <v>127</v>
      </c>
      <c r="F24" s="152" t="s">
        <v>128</v>
      </c>
      <c r="G24" s="152" t="s">
        <v>129</v>
      </c>
      <c r="H24" s="155" t="s">
        <v>73</v>
      </c>
      <c r="I24" s="156" t="s">
        <v>126</v>
      </c>
      <c r="J24" s="157"/>
      <c r="K24" s="153" t="s">
        <v>54</v>
      </c>
      <c r="L24" s="153"/>
      <c r="M24" s="106"/>
      <c r="N24" s="106"/>
      <c r="O24" s="106"/>
      <c r="P24" s="106"/>
      <c r="Q24" s="5"/>
      <c r="R24" s="106"/>
      <c r="S24" s="106"/>
      <c r="T24" s="106"/>
      <c r="U24" s="106"/>
      <c r="V24" s="106"/>
      <c r="W24" s="106"/>
      <c r="X24" s="106"/>
      <c r="Y24" s="106"/>
      <c r="Z24" s="1"/>
      <c r="AA24" s="1"/>
      <c r="AB24" s="1"/>
    </row>
    <row r="25" ht="15.75" customHeight="1">
      <c r="A25" s="106"/>
      <c r="B25" s="158" t="s">
        <v>62</v>
      </c>
      <c r="C25" s="159" t="s">
        <v>122</v>
      </c>
      <c r="D25" s="159"/>
      <c r="E25" s="154" t="s">
        <v>130</v>
      </c>
      <c r="F25" s="159" t="s">
        <v>131</v>
      </c>
      <c r="G25" s="159" t="s">
        <v>132</v>
      </c>
      <c r="H25" s="155" t="s">
        <v>73</v>
      </c>
      <c r="I25" s="156" t="s">
        <v>126</v>
      </c>
      <c r="J25" s="157"/>
      <c r="K25" s="153" t="s">
        <v>54</v>
      </c>
      <c r="L25" s="153"/>
      <c r="M25" s="106"/>
      <c r="N25" s="106"/>
      <c r="O25" s="106"/>
      <c r="P25" s="106"/>
      <c r="Q25" s="5"/>
      <c r="R25" s="106"/>
      <c r="S25" s="106"/>
      <c r="T25" s="106"/>
      <c r="U25" s="106"/>
      <c r="V25" s="106"/>
      <c r="W25" s="106"/>
      <c r="X25" s="106"/>
      <c r="Y25" s="106"/>
      <c r="Z25" s="1"/>
      <c r="AA25" s="1"/>
      <c r="AB25" s="1"/>
    </row>
    <row r="26" ht="15.75" customHeight="1">
      <c r="A26" s="106"/>
      <c r="B26" s="152" t="s">
        <v>62</v>
      </c>
      <c r="C26" s="152" t="s">
        <v>122</v>
      </c>
      <c r="D26" s="153"/>
      <c r="E26" s="154" t="s">
        <v>133</v>
      </c>
      <c r="F26" s="152" t="s">
        <v>134</v>
      </c>
      <c r="G26" s="160" t="s">
        <v>135</v>
      </c>
      <c r="H26" s="155" t="s">
        <v>73</v>
      </c>
      <c r="I26" s="156" t="s">
        <v>126</v>
      </c>
      <c r="J26" s="157"/>
      <c r="K26" s="153" t="s">
        <v>54</v>
      </c>
      <c r="L26" s="153"/>
      <c r="M26" s="106"/>
      <c r="N26" s="106"/>
      <c r="O26" s="106"/>
      <c r="P26" s="106"/>
      <c r="Q26" s="5"/>
      <c r="R26" s="106"/>
      <c r="S26" s="106"/>
      <c r="T26" s="106"/>
      <c r="U26" s="106"/>
      <c r="V26" s="106"/>
      <c r="W26" s="106"/>
      <c r="X26" s="106"/>
      <c r="Y26" s="106"/>
      <c r="Z26" s="1"/>
      <c r="AA26" s="1"/>
      <c r="AB26" s="1"/>
    </row>
    <row r="27" ht="15.75" customHeight="1">
      <c r="A27" s="106"/>
      <c r="B27" s="152" t="s">
        <v>62</v>
      </c>
      <c r="C27" s="152" t="s">
        <v>122</v>
      </c>
      <c r="D27" s="153"/>
      <c r="E27" s="154" t="s">
        <v>136</v>
      </c>
      <c r="F27" s="152" t="s">
        <v>137</v>
      </c>
      <c r="G27" s="160" t="s">
        <v>138</v>
      </c>
      <c r="H27" s="155" t="s">
        <v>73</v>
      </c>
      <c r="I27" s="156" t="s">
        <v>126</v>
      </c>
      <c r="J27" s="157"/>
      <c r="K27" s="153" t="s">
        <v>54</v>
      </c>
      <c r="L27" s="153"/>
      <c r="M27" s="106"/>
      <c r="N27" s="106"/>
      <c r="O27" s="106"/>
      <c r="P27" s="106"/>
      <c r="Q27" s="5"/>
      <c r="R27" s="106"/>
      <c r="S27" s="106"/>
      <c r="T27" s="106"/>
      <c r="U27" s="106"/>
      <c r="V27" s="106"/>
      <c r="W27" s="106"/>
      <c r="X27" s="106"/>
      <c r="Y27" s="106"/>
      <c r="Z27" s="1"/>
      <c r="AA27" s="1"/>
      <c r="AB27" s="1"/>
    </row>
    <row r="28" ht="15.75" customHeight="1">
      <c r="A28" s="106"/>
      <c r="B28" s="152" t="s">
        <v>62</v>
      </c>
      <c r="C28" s="161" t="s">
        <v>139</v>
      </c>
      <c r="D28" s="162"/>
      <c r="E28" s="163" t="s">
        <v>140</v>
      </c>
      <c r="F28" s="152" t="s">
        <v>141</v>
      </c>
      <c r="G28" s="160" t="s">
        <v>142</v>
      </c>
      <c r="H28" s="155" t="s">
        <v>73</v>
      </c>
      <c r="I28" s="156" t="s">
        <v>126</v>
      </c>
      <c r="J28" s="157"/>
      <c r="K28" s="153" t="s">
        <v>54</v>
      </c>
      <c r="L28" s="153"/>
      <c r="M28" s="106"/>
      <c r="N28" s="106"/>
      <c r="O28" s="106"/>
      <c r="P28" s="106"/>
      <c r="Q28" s="5"/>
      <c r="R28" s="106"/>
      <c r="S28" s="106"/>
      <c r="T28" s="106"/>
      <c r="U28" s="106"/>
      <c r="V28" s="106"/>
      <c r="W28" s="106"/>
      <c r="X28" s="106"/>
      <c r="Y28" s="106"/>
      <c r="Z28" s="1"/>
      <c r="AA28" s="1"/>
      <c r="AB28" s="1"/>
    </row>
    <row r="29" ht="15.75" customHeight="1">
      <c r="A29" s="106"/>
      <c r="B29" s="158" t="s">
        <v>62</v>
      </c>
      <c r="C29" s="164" t="s">
        <v>139</v>
      </c>
      <c r="D29" s="164"/>
      <c r="E29" s="163" t="s">
        <v>143</v>
      </c>
      <c r="F29" s="159" t="s">
        <v>144</v>
      </c>
      <c r="G29" s="159" t="s">
        <v>142</v>
      </c>
      <c r="H29" s="155" t="s">
        <v>73</v>
      </c>
      <c r="I29" s="156" t="s">
        <v>126</v>
      </c>
      <c r="J29" s="157"/>
      <c r="K29" s="153" t="s">
        <v>54</v>
      </c>
      <c r="L29" s="153"/>
      <c r="M29" s="106"/>
      <c r="N29" s="106"/>
      <c r="O29" s="106"/>
      <c r="P29" s="106"/>
      <c r="Q29" s="5"/>
      <c r="R29" s="106"/>
      <c r="S29" s="106"/>
      <c r="T29" s="106"/>
      <c r="U29" s="106"/>
      <c r="V29" s="106"/>
      <c r="W29" s="106"/>
      <c r="X29" s="106"/>
      <c r="Y29" s="106"/>
      <c r="Z29" s="1"/>
      <c r="AA29" s="1"/>
      <c r="AB29" s="1"/>
    </row>
    <row r="30" ht="15.75" customHeight="1">
      <c r="A30" s="106"/>
      <c r="B30" s="152" t="s">
        <v>62</v>
      </c>
      <c r="C30" s="161" t="s">
        <v>139</v>
      </c>
      <c r="D30" s="162"/>
      <c r="E30" s="163" t="s">
        <v>145</v>
      </c>
      <c r="F30" s="152" t="s">
        <v>146</v>
      </c>
      <c r="G30" s="152" t="s">
        <v>147</v>
      </c>
      <c r="H30" s="155" t="s">
        <v>73</v>
      </c>
      <c r="I30" s="156" t="s">
        <v>126</v>
      </c>
      <c r="J30" s="157"/>
      <c r="K30" s="153" t="s">
        <v>54</v>
      </c>
      <c r="L30" s="153"/>
      <c r="M30" s="106"/>
      <c r="N30" s="106"/>
      <c r="O30" s="106"/>
      <c r="P30" s="106"/>
      <c r="Q30" s="5"/>
      <c r="R30" s="106"/>
      <c r="S30" s="106"/>
      <c r="T30" s="106"/>
      <c r="U30" s="106"/>
      <c r="V30" s="106"/>
      <c r="W30" s="106"/>
      <c r="X30" s="106"/>
      <c r="Y30" s="106"/>
      <c r="Z30" s="1"/>
      <c r="AA30" s="1"/>
      <c r="AB30" s="1"/>
    </row>
    <row r="31" ht="15.75" customHeight="1">
      <c r="A31" s="106"/>
      <c r="B31" s="152" t="s">
        <v>62</v>
      </c>
      <c r="C31" s="161" t="s">
        <v>139</v>
      </c>
      <c r="D31" s="162"/>
      <c r="E31" s="163" t="s">
        <v>148</v>
      </c>
      <c r="F31" s="152" t="s">
        <v>149</v>
      </c>
      <c r="G31" s="152" t="s">
        <v>150</v>
      </c>
      <c r="H31" s="155" t="s">
        <v>73</v>
      </c>
      <c r="I31" s="156" t="s">
        <v>126</v>
      </c>
      <c r="J31" s="157"/>
      <c r="K31" s="153" t="s">
        <v>54</v>
      </c>
      <c r="L31" s="153"/>
      <c r="M31" s="106"/>
      <c r="N31" s="106"/>
      <c r="O31" s="106"/>
      <c r="P31" s="106"/>
      <c r="Q31" s="5"/>
      <c r="R31" s="106"/>
      <c r="S31" s="106"/>
      <c r="T31" s="106"/>
      <c r="U31" s="106"/>
      <c r="V31" s="106"/>
      <c r="W31" s="106"/>
      <c r="X31" s="106"/>
      <c r="Y31" s="106"/>
      <c r="Z31" s="1"/>
      <c r="AA31" s="1"/>
      <c r="AB31" s="1"/>
    </row>
    <row r="32" ht="15.75" customHeight="1">
      <c r="A32" s="106"/>
      <c r="B32" s="152" t="s">
        <v>62</v>
      </c>
      <c r="C32" s="161" t="s">
        <v>139</v>
      </c>
      <c r="D32" s="162"/>
      <c r="E32" s="163" t="s">
        <v>151</v>
      </c>
      <c r="F32" s="152" t="s">
        <v>152</v>
      </c>
      <c r="G32" s="152" t="s">
        <v>153</v>
      </c>
      <c r="H32" s="155" t="s">
        <v>73</v>
      </c>
      <c r="I32" s="156" t="s">
        <v>126</v>
      </c>
      <c r="J32" s="157"/>
      <c r="K32" s="153" t="s">
        <v>54</v>
      </c>
      <c r="L32" s="153"/>
      <c r="M32" s="106"/>
      <c r="N32" s="106"/>
      <c r="O32" s="106"/>
      <c r="P32" s="106"/>
      <c r="Q32" s="5"/>
      <c r="R32" s="106"/>
      <c r="S32" s="106"/>
      <c r="T32" s="106"/>
      <c r="U32" s="106"/>
      <c r="V32" s="106"/>
      <c r="W32" s="106"/>
      <c r="X32" s="106"/>
      <c r="Y32" s="106"/>
      <c r="Z32" s="1"/>
      <c r="AA32" s="1"/>
      <c r="AB32" s="1"/>
    </row>
    <row r="33" ht="15.75" customHeight="1">
      <c r="A33" s="106"/>
      <c r="B33" s="152" t="s">
        <v>62</v>
      </c>
      <c r="C33" s="161" t="s">
        <v>139</v>
      </c>
      <c r="D33" s="162"/>
      <c r="E33" s="163" t="s">
        <v>154</v>
      </c>
      <c r="F33" s="152" t="s">
        <v>155</v>
      </c>
      <c r="G33" s="152" t="s">
        <v>156</v>
      </c>
      <c r="H33" s="155" t="s">
        <v>73</v>
      </c>
      <c r="I33" s="156" t="s">
        <v>126</v>
      </c>
      <c r="J33" s="157"/>
      <c r="K33" s="153" t="s">
        <v>54</v>
      </c>
      <c r="L33" s="153"/>
      <c r="M33" s="106"/>
      <c r="N33" s="106"/>
      <c r="O33" s="106"/>
      <c r="P33" s="106"/>
      <c r="Q33" s="5"/>
      <c r="R33" s="106"/>
      <c r="S33" s="106"/>
      <c r="T33" s="106"/>
      <c r="U33" s="106"/>
      <c r="V33" s="106"/>
      <c r="W33" s="106"/>
      <c r="X33" s="106"/>
      <c r="Y33" s="106"/>
      <c r="Z33" s="1"/>
      <c r="AA33" s="1"/>
      <c r="AB33" s="1"/>
    </row>
    <row r="34" ht="32.25" customHeight="1">
      <c r="A34" s="106"/>
      <c r="B34" s="149" t="s">
        <v>157</v>
      </c>
      <c r="C34" s="150"/>
      <c r="D34" s="150"/>
      <c r="E34" s="151"/>
      <c r="F34" s="150"/>
      <c r="G34" s="150"/>
      <c r="H34" s="150"/>
      <c r="I34" s="150"/>
      <c r="J34" s="150"/>
      <c r="K34" s="150"/>
      <c r="L34" s="150"/>
      <c r="M34" s="106"/>
      <c r="N34" s="106"/>
      <c r="O34" s="106"/>
      <c r="P34" s="106"/>
      <c r="Q34" s="5"/>
      <c r="R34" s="106"/>
      <c r="S34" s="106"/>
      <c r="T34" s="106"/>
      <c r="U34" s="106"/>
      <c r="V34" s="106"/>
      <c r="W34" s="106"/>
      <c r="X34" s="106"/>
      <c r="Y34" s="106"/>
      <c r="Z34" s="1"/>
      <c r="AA34" s="1"/>
      <c r="AB34" s="1"/>
    </row>
    <row r="35" ht="15.75" customHeight="1">
      <c r="A35" s="106"/>
      <c r="B35" s="152" t="s">
        <v>62</v>
      </c>
      <c r="C35" s="152" t="s">
        <v>122</v>
      </c>
      <c r="D35" s="153">
        <v>2.0</v>
      </c>
      <c r="E35" s="154" t="s">
        <v>158</v>
      </c>
      <c r="F35" s="152" t="s">
        <v>159</v>
      </c>
      <c r="G35" s="152" t="s">
        <v>125</v>
      </c>
      <c r="H35" s="155" t="s">
        <v>73</v>
      </c>
      <c r="I35" s="156" t="s">
        <v>126</v>
      </c>
      <c r="J35" s="157"/>
      <c r="K35" s="153" t="s">
        <v>54</v>
      </c>
      <c r="L35" s="153"/>
      <c r="M35" s="106"/>
      <c r="N35" s="106"/>
      <c r="O35" s="106"/>
      <c r="P35" s="106"/>
      <c r="Q35" s="5"/>
      <c r="R35" s="106"/>
      <c r="S35" s="106"/>
      <c r="T35" s="106"/>
      <c r="U35" s="106"/>
      <c r="V35" s="106"/>
      <c r="W35" s="106"/>
      <c r="X35" s="106"/>
      <c r="Y35" s="106"/>
      <c r="Z35" s="1"/>
      <c r="AA35" s="1"/>
      <c r="AB35" s="1"/>
    </row>
    <row r="36" ht="15.75" customHeight="1">
      <c r="A36" s="106"/>
      <c r="B36" s="152" t="s">
        <v>62</v>
      </c>
      <c r="C36" s="152" t="s">
        <v>122</v>
      </c>
      <c r="D36" s="153"/>
      <c r="E36" s="154" t="s">
        <v>160</v>
      </c>
      <c r="F36" s="152" t="s">
        <v>161</v>
      </c>
      <c r="G36" s="152" t="s">
        <v>129</v>
      </c>
      <c r="H36" s="155" t="s">
        <v>73</v>
      </c>
      <c r="I36" s="156" t="s">
        <v>126</v>
      </c>
      <c r="J36" s="157"/>
      <c r="K36" s="153" t="s">
        <v>54</v>
      </c>
      <c r="L36" s="153"/>
      <c r="M36" s="106"/>
      <c r="N36" s="106"/>
      <c r="O36" s="106"/>
      <c r="P36" s="106"/>
      <c r="Q36" s="5"/>
      <c r="R36" s="106"/>
      <c r="S36" s="106"/>
      <c r="T36" s="106"/>
      <c r="U36" s="106"/>
      <c r="V36" s="106"/>
      <c r="W36" s="106"/>
      <c r="X36" s="106"/>
      <c r="Y36" s="106"/>
      <c r="Z36" s="1"/>
      <c r="AA36" s="1"/>
      <c r="AB36" s="1"/>
    </row>
    <row r="37" ht="15.75" customHeight="1">
      <c r="A37" s="106"/>
      <c r="B37" s="152" t="s">
        <v>62</v>
      </c>
      <c r="C37" s="152" t="s">
        <v>122</v>
      </c>
      <c r="D37" s="153"/>
      <c r="E37" s="154" t="s">
        <v>162</v>
      </c>
      <c r="F37" s="152" t="s">
        <v>163</v>
      </c>
      <c r="G37" s="152" t="s">
        <v>132</v>
      </c>
      <c r="H37" s="155" t="s">
        <v>73</v>
      </c>
      <c r="I37" s="156" t="s">
        <v>126</v>
      </c>
      <c r="J37" s="157"/>
      <c r="K37" s="153" t="s">
        <v>54</v>
      </c>
      <c r="L37" s="153"/>
      <c r="M37" s="106"/>
      <c r="N37" s="106"/>
      <c r="O37" s="106"/>
      <c r="P37" s="106"/>
      <c r="Q37" s="5"/>
      <c r="R37" s="106"/>
      <c r="S37" s="106"/>
      <c r="T37" s="106"/>
      <c r="U37" s="106"/>
      <c r="V37" s="106"/>
      <c r="W37" s="106"/>
      <c r="X37" s="106"/>
      <c r="Y37" s="106"/>
      <c r="Z37" s="1"/>
      <c r="AA37" s="1"/>
      <c r="AB37" s="1"/>
    </row>
    <row r="38" ht="15.75" customHeight="1">
      <c r="A38" s="106"/>
      <c r="B38" s="152" t="s">
        <v>62</v>
      </c>
      <c r="C38" s="152" t="s">
        <v>122</v>
      </c>
      <c r="D38" s="153"/>
      <c r="E38" s="154" t="s">
        <v>164</v>
      </c>
      <c r="F38" s="152" t="s">
        <v>165</v>
      </c>
      <c r="G38" s="152" t="s">
        <v>135</v>
      </c>
      <c r="H38" s="155" t="s">
        <v>73</v>
      </c>
      <c r="I38" s="156" t="s">
        <v>126</v>
      </c>
      <c r="J38" s="157"/>
      <c r="K38" s="153" t="s">
        <v>54</v>
      </c>
      <c r="L38" s="153"/>
      <c r="M38" s="106"/>
      <c r="N38" s="106"/>
      <c r="O38" s="106"/>
      <c r="P38" s="106"/>
      <c r="Q38" s="5"/>
      <c r="R38" s="106"/>
      <c r="S38" s="106"/>
      <c r="T38" s="106"/>
      <c r="U38" s="106"/>
      <c r="V38" s="106"/>
      <c r="W38" s="106"/>
      <c r="X38" s="106"/>
      <c r="Y38" s="106"/>
      <c r="Z38" s="1"/>
      <c r="AA38" s="1"/>
      <c r="AB38" s="1"/>
    </row>
    <row r="39" ht="15.75" customHeight="1">
      <c r="A39" s="106"/>
      <c r="B39" s="152" t="s">
        <v>62</v>
      </c>
      <c r="C39" s="152" t="s">
        <v>122</v>
      </c>
      <c r="D39" s="153"/>
      <c r="E39" s="154" t="s">
        <v>166</v>
      </c>
      <c r="F39" s="152" t="s">
        <v>167</v>
      </c>
      <c r="G39" s="152" t="s">
        <v>138</v>
      </c>
      <c r="H39" s="155" t="s">
        <v>73</v>
      </c>
      <c r="I39" s="156" t="s">
        <v>126</v>
      </c>
      <c r="J39" s="157"/>
      <c r="K39" s="153" t="s">
        <v>54</v>
      </c>
      <c r="L39" s="153"/>
      <c r="M39" s="106"/>
      <c r="N39" s="106"/>
      <c r="O39" s="106"/>
      <c r="P39" s="106"/>
      <c r="Q39" s="5"/>
      <c r="R39" s="106"/>
      <c r="S39" s="106"/>
      <c r="T39" s="106"/>
      <c r="U39" s="106"/>
      <c r="V39" s="106"/>
      <c r="W39" s="106"/>
      <c r="X39" s="106"/>
      <c r="Y39" s="106"/>
      <c r="Z39" s="1"/>
      <c r="AA39" s="1"/>
      <c r="AB39" s="1"/>
    </row>
    <row r="40" ht="15.75" customHeight="1">
      <c r="A40" s="106"/>
      <c r="B40" s="152" t="s">
        <v>62</v>
      </c>
      <c r="C40" s="152" t="s">
        <v>168</v>
      </c>
      <c r="D40" s="153"/>
      <c r="E40" s="163" t="s">
        <v>169</v>
      </c>
      <c r="F40" s="152" t="s">
        <v>170</v>
      </c>
      <c r="G40" s="152" t="s">
        <v>171</v>
      </c>
      <c r="H40" s="155" t="s">
        <v>73</v>
      </c>
      <c r="I40" s="156" t="s">
        <v>126</v>
      </c>
      <c r="J40" s="157"/>
      <c r="K40" s="153" t="s">
        <v>54</v>
      </c>
      <c r="L40" s="153"/>
      <c r="M40" s="106"/>
      <c r="N40" s="106"/>
      <c r="O40" s="106"/>
      <c r="P40" s="106"/>
      <c r="Q40" s="5"/>
      <c r="R40" s="106"/>
      <c r="S40" s="106"/>
      <c r="T40" s="106"/>
      <c r="U40" s="106"/>
      <c r="V40" s="106"/>
      <c r="W40" s="106"/>
      <c r="X40" s="106"/>
      <c r="Y40" s="106"/>
      <c r="Z40" s="1"/>
      <c r="AA40" s="1"/>
      <c r="AB40" s="1"/>
    </row>
    <row r="41" ht="15.75" customHeight="1">
      <c r="A41" s="106"/>
      <c r="B41" s="152" t="s">
        <v>62</v>
      </c>
      <c r="C41" s="152" t="s">
        <v>168</v>
      </c>
      <c r="D41" s="153"/>
      <c r="E41" s="163" t="s">
        <v>172</v>
      </c>
      <c r="F41" s="152" t="s">
        <v>173</v>
      </c>
      <c r="G41" s="152" t="s">
        <v>174</v>
      </c>
      <c r="H41" s="155" t="s">
        <v>73</v>
      </c>
      <c r="I41" s="156" t="s">
        <v>126</v>
      </c>
      <c r="J41" s="157"/>
      <c r="K41" s="153" t="s">
        <v>54</v>
      </c>
      <c r="L41" s="153"/>
      <c r="M41" s="106"/>
      <c r="N41" s="106"/>
      <c r="O41" s="106"/>
      <c r="P41" s="106"/>
      <c r="Q41" s="5"/>
      <c r="R41" s="106"/>
      <c r="S41" s="106"/>
      <c r="T41" s="106"/>
      <c r="U41" s="106"/>
      <c r="V41" s="106"/>
      <c r="W41" s="106"/>
      <c r="X41" s="106"/>
      <c r="Y41" s="106"/>
      <c r="Z41" s="1"/>
      <c r="AA41" s="1"/>
      <c r="AB41" s="1"/>
    </row>
    <row r="42" ht="15.75" customHeight="1">
      <c r="A42" s="106"/>
      <c r="B42" s="152" t="s">
        <v>62</v>
      </c>
      <c r="C42" s="152" t="s">
        <v>168</v>
      </c>
      <c r="D42" s="153"/>
      <c r="E42" s="163" t="s">
        <v>175</v>
      </c>
      <c r="F42" s="152" t="s">
        <v>176</v>
      </c>
      <c r="G42" s="160" t="s">
        <v>177</v>
      </c>
      <c r="H42" s="155" t="s">
        <v>73</v>
      </c>
      <c r="I42" s="156" t="s">
        <v>126</v>
      </c>
      <c r="J42" s="157"/>
      <c r="K42" s="153" t="s">
        <v>54</v>
      </c>
      <c r="L42" s="153"/>
      <c r="M42" s="106"/>
      <c r="N42" s="106"/>
      <c r="O42" s="106"/>
      <c r="P42" s="106"/>
      <c r="Q42" s="5"/>
      <c r="R42" s="106"/>
      <c r="S42" s="106"/>
      <c r="T42" s="106"/>
      <c r="U42" s="106"/>
      <c r="V42" s="106"/>
      <c r="W42" s="106"/>
      <c r="X42" s="106"/>
      <c r="Y42" s="106"/>
      <c r="Z42" s="1"/>
      <c r="AA42" s="1"/>
      <c r="AB42" s="1"/>
    </row>
    <row r="43" ht="32.25" customHeight="1">
      <c r="A43" s="106"/>
      <c r="B43" s="149" t="s">
        <v>178</v>
      </c>
      <c r="C43" s="150"/>
      <c r="D43" s="150"/>
      <c r="E43" s="151"/>
      <c r="F43" s="150"/>
      <c r="G43" s="150"/>
      <c r="H43" s="150"/>
      <c r="I43" s="150"/>
      <c r="J43" s="150"/>
      <c r="K43" s="150"/>
      <c r="L43" s="150"/>
      <c r="M43" s="106"/>
      <c r="N43" s="106"/>
      <c r="O43" s="106"/>
      <c r="P43" s="106"/>
      <c r="Q43" s="5"/>
      <c r="R43" s="106"/>
      <c r="S43" s="106"/>
      <c r="T43" s="106"/>
      <c r="U43" s="106"/>
      <c r="V43" s="106"/>
      <c r="W43" s="106"/>
      <c r="X43" s="106"/>
      <c r="Y43" s="106"/>
      <c r="Z43" s="1"/>
      <c r="AA43" s="1"/>
      <c r="AB43" s="1"/>
    </row>
    <row r="44" ht="15.75" customHeight="1">
      <c r="A44" s="106"/>
      <c r="B44" s="152" t="s">
        <v>62</v>
      </c>
      <c r="C44" s="152" t="s">
        <v>122</v>
      </c>
      <c r="D44" s="153">
        <v>3.0</v>
      </c>
      <c r="E44" s="154" t="s">
        <v>179</v>
      </c>
      <c r="F44" s="152" t="s">
        <v>180</v>
      </c>
      <c r="G44" s="152" t="s">
        <v>125</v>
      </c>
      <c r="H44" s="155" t="s">
        <v>7</v>
      </c>
      <c r="I44" s="165" t="s">
        <v>181</v>
      </c>
      <c r="J44" s="157"/>
      <c r="K44" s="153" t="s">
        <v>54</v>
      </c>
      <c r="L44" s="153"/>
      <c r="M44" s="106"/>
      <c r="N44" s="106"/>
      <c r="O44" s="106"/>
      <c r="P44" s="106"/>
      <c r="Q44" s="5"/>
      <c r="R44" s="106"/>
      <c r="S44" s="106"/>
      <c r="T44" s="106"/>
      <c r="U44" s="106"/>
      <c r="V44" s="106"/>
      <c r="W44" s="106"/>
      <c r="X44" s="106"/>
      <c r="Y44" s="106"/>
      <c r="Z44" s="1"/>
      <c r="AA44" s="1"/>
      <c r="AB44" s="1"/>
    </row>
    <row r="45" ht="15.75" customHeight="1">
      <c r="A45" s="106"/>
      <c r="B45" s="152" t="s">
        <v>62</v>
      </c>
      <c r="C45" s="152" t="s">
        <v>122</v>
      </c>
      <c r="D45" s="153"/>
      <c r="E45" s="154" t="s">
        <v>182</v>
      </c>
      <c r="F45" s="152" t="s">
        <v>183</v>
      </c>
      <c r="G45" s="152" t="s">
        <v>129</v>
      </c>
      <c r="H45" s="155" t="s">
        <v>7</v>
      </c>
      <c r="I45" s="165" t="s">
        <v>184</v>
      </c>
      <c r="J45" s="157"/>
      <c r="K45" s="153" t="s">
        <v>54</v>
      </c>
      <c r="L45" s="153"/>
      <c r="M45" s="106"/>
      <c r="N45" s="106"/>
      <c r="O45" s="106"/>
      <c r="P45" s="106"/>
      <c r="Q45" s="5"/>
      <c r="R45" s="106"/>
      <c r="S45" s="106"/>
      <c r="T45" s="106"/>
      <c r="U45" s="106"/>
      <c r="V45" s="106"/>
      <c r="W45" s="106"/>
      <c r="X45" s="106"/>
      <c r="Y45" s="106"/>
      <c r="Z45" s="1"/>
      <c r="AA45" s="1"/>
      <c r="AB45" s="1"/>
    </row>
    <row r="46" ht="15.75" customHeight="1">
      <c r="A46" s="106"/>
      <c r="B46" s="152" t="s">
        <v>62</v>
      </c>
      <c r="C46" s="152" t="s">
        <v>122</v>
      </c>
      <c r="D46" s="153"/>
      <c r="E46" s="154" t="s">
        <v>185</v>
      </c>
      <c r="F46" s="152" t="s">
        <v>186</v>
      </c>
      <c r="G46" s="152" t="s">
        <v>132</v>
      </c>
      <c r="H46" s="155" t="s">
        <v>7</v>
      </c>
      <c r="I46" s="165" t="s">
        <v>187</v>
      </c>
      <c r="J46" s="157"/>
      <c r="K46" s="153" t="s">
        <v>54</v>
      </c>
      <c r="L46" s="153"/>
      <c r="M46" s="106"/>
      <c r="N46" s="106"/>
      <c r="O46" s="106"/>
      <c r="P46" s="106"/>
      <c r="Q46" s="5"/>
      <c r="R46" s="106"/>
      <c r="S46" s="106"/>
      <c r="T46" s="106"/>
      <c r="U46" s="106"/>
      <c r="V46" s="106"/>
      <c r="W46" s="106"/>
      <c r="X46" s="106"/>
      <c r="Y46" s="106"/>
      <c r="Z46" s="1"/>
      <c r="AA46" s="1"/>
      <c r="AB46" s="1"/>
    </row>
    <row r="47" ht="15.75" customHeight="1">
      <c r="A47" s="106"/>
      <c r="B47" s="152" t="s">
        <v>62</v>
      </c>
      <c r="C47" s="152" t="s">
        <v>122</v>
      </c>
      <c r="D47" s="153"/>
      <c r="E47" s="154" t="s">
        <v>188</v>
      </c>
      <c r="F47" s="152" t="s">
        <v>189</v>
      </c>
      <c r="G47" s="152" t="s">
        <v>135</v>
      </c>
      <c r="H47" s="155" t="s">
        <v>7</v>
      </c>
      <c r="I47" s="165" t="s">
        <v>190</v>
      </c>
      <c r="J47" s="157"/>
      <c r="K47" s="153" t="s">
        <v>54</v>
      </c>
      <c r="L47" s="153"/>
      <c r="M47" s="106"/>
      <c r="N47" s="106"/>
      <c r="O47" s="106"/>
      <c r="P47" s="106"/>
      <c r="Q47" s="5"/>
      <c r="R47" s="106"/>
      <c r="S47" s="106"/>
      <c r="T47" s="106"/>
      <c r="U47" s="106"/>
      <c r="V47" s="106"/>
      <c r="W47" s="106"/>
      <c r="X47" s="106"/>
      <c r="Y47" s="106"/>
      <c r="Z47" s="1"/>
      <c r="AA47" s="1"/>
      <c r="AB47" s="1"/>
    </row>
    <row r="48" ht="15.75" customHeight="1">
      <c r="A48" s="106"/>
      <c r="B48" s="152" t="s">
        <v>62</v>
      </c>
      <c r="C48" s="152" t="s">
        <v>122</v>
      </c>
      <c r="D48" s="153"/>
      <c r="E48" s="154" t="s">
        <v>191</v>
      </c>
      <c r="F48" s="152" t="s">
        <v>192</v>
      </c>
      <c r="G48" s="152" t="s">
        <v>138</v>
      </c>
      <c r="H48" s="155" t="s">
        <v>7</v>
      </c>
      <c r="I48" s="166" t="s">
        <v>193</v>
      </c>
      <c r="J48" s="157"/>
      <c r="K48" s="153" t="s">
        <v>54</v>
      </c>
      <c r="L48" s="153"/>
      <c r="M48" s="106"/>
      <c r="N48" s="106"/>
      <c r="O48" s="106"/>
      <c r="P48" s="106"/>
      <c r="Q48" s="5"/>
      <c r="R48" s="106"/>
      <c r="S48" s="106"/>
      <c r="T48" s="106"/>
      <c r="U48" s="106"/>
      <c r="V48" s="106"/>
      <c r="W48" s="106"/>
      <c r="X48" s="106"/>
      <c r="Y48" s="106"/>
      <c r="Z48" s="1"/>
      <c r="AA48" s="1"/>
      <c r="AB48" s="1"/>
    </row>
    <row r="49" ht="15.75" customHeight="1">
      <c r="A49" s="106"/>
      <c r="B49" s="152" t="s">
        <v>62</v>
      </c>
      <c r="C49" s="152" t="s">
        <v>194</v>
      </c>
      <c r="D49" s="153"/>
      <c r="E49" s="154" t="s">
        <v>195</v>
      </c>
      <c r="F49" s="152" t="s">
        <v>196</v>
      </c>
      <c r="G49" s="152" t="s">
        <v>197</v>
      </c>
      <c r="H49" s="155" t="s">
        <v>7</v>
      </c>
      <c r="I49" s="165" t="s">
        <v>198</v>
      </c>
      <c r="J49" s="157"/>
      <c r="K49" s="153" t="s">
        <v>54</v>
      </c>
      <c r="L49" s="153"/>
      <c r="M49" s="106"/>
      <c r="N49" s="106"/>
      <c r="O49" s="106"/>
      <c r="P49" s="106"/>
      <c r="Q49" s="5"/>
      <c r="R49" s="106"/>
      <c r="S49" s="106"/>
      <c r="T49" s="106"/>
      <c r="U49" s="106"/>
      <c r="V49" s="106"/>
      <c r="W49" s="106"/>
      <c r="X49" s="106"/>
      <c r="Y49" s="106"/>
      <c r="Z49" s="1"/>
      <c r="AA49" s="1"/>
      <c r="AB49" s="1"/>
    </row>
    <row r="50" ht="15.75" customHeight="1">
      <c r="A50" s="106"/>
      <c r="B50" s="152" t="s">
        <v>62</v>
      </c>
      <c r="C50" s="152" t="s">
        <v>194</v>
      </c>
      <c r="D50" s="153"/>
      <c r="E50" s="154" t="s">
        <v>199</v>
      </c>
      <c r="F50" s="152" t="s">
        <v>200</v>
      </c>
      <c r="G50" s="152" t="s">
        <v>201</v>
      </c>
      <c r="H50" s="155" t="s">
        <v>7</v>
      </c>
      <c r="I50" s="165" t="s">
        <v>202</v>
      </c>
      <c r="J50" s="157"/>
      <c r="K50" s="153" t="s">
        <v>54</v>
      </c>
      <c r="L50" s="153"/>
      <c r="M50" s="106"/>
      <c r="N50" s="106"/>
      <c r="O50" s="106"/>
      <c r="P50" s="106"/>
      <c r="Q50" s="5"/>
      <c r="R50" s="106"/>
      <c r="S50" s="106"/>
      <c r="T50" s="106"/>
      <c r="U50" s="106"/>
      <c r="V50" s="106"/>
      <c r="W50" s="106"/>
      <c r="X50" s="106"/>
      <c r="Y50" s="106"/>
      <c r="Z50" s="1"/>
      <c r="AA50" s="1"/>
      <c r="AB50" s="1"/>
    </row>
    <row r="51" ht="15.75" customHeight="1">
      <c r="A51" s="106"/>
      <c r="B51" s="167" t="s">
        <v>62</v>
      </c>
      <c r="C51" s="167" t="s">
        <v>203</v>
      </c>
      <c r="D51" s="168"/>
      <c r="E51" s="169" t="s">
        <v>204</v>
      </c>
      <c r="F51" s="167" t="s">
        <v>205</v>
      </c>
      <c r="G51" s="170" t="s">
        <v>206</v>
      </c>
      <c r="H51" s="171" t="s">
        <v>73</v>
      </c>
      <c r="I51" s="172" t="s">
        <v>126</v>
      </c>
      <c r="J51" s="173"/>
      <c r="K51" s="168" t="s">
        <v>54</v>
      </c>
      <c r="L51" s="168" t="s">
        <v>207</v>
      </c>
      <c r="M51" s="106"/>
      <c r="N51" s="106"/>
      <c r="O51" s="106"/>
      <c r="P51" s="106"/>
      <c r="Q51" s="5"/>
      <c r="R51" s="106"/>
      <c r="S51" s="106"/>
      <c r="T51" s="106"/>
      <c r="U51" s="106"/>
      <c r="V51" s="106"/>
      <c r="W51" s="106"/>
      <c r="X51" s="106"/>
      <c r="Y51" s="106"/>
      <c r="Z51" s="1"/>
      <c r="AA51" s="1"/>
      <c r="AB51" s="1"/>
    </row>
    <row r="52" ht="15.75" customHeight="1">
      <c r="A52" s="106"/>
      <c r="B52" s="174" t="s">
        <v>62</v>
      </c>
      <c r="C52" s="174" t="s">
        <v>203</v>
      </c>
      <c r="D52" s="174"/>
      <c r="E52" s="169" t="s">
        <v>208</v>
      </c>
      <c r="F52" s="174" t="s">
        <v>209</v>
      </c>
      <c r="G52" s="175" t="s">
        <v>210</v>
      </c>
      <c r="H52" s="171" t="s">
        <v>73</v>
      </c>
      <c r="I52" s="172" t="s">
        <v>126</v>
      </c>
      <c r="J52" s="173"/>
      <c r="K52" s="168" t="s">
        <v>54</v>
      </c>
      <c r="L52" s="168" t="s">
        <v>207</v>
      </c>
      <c r="M52" s="106"/>
      <c r="N52" s="106"/>
      <c r="O52" s="106"/>
      <c r="P52" s="106"/>
      <c r="Q52" s="5"/>
      <c r="R52" s="106"/>
      <c r="S52" s="106"/>
      <c r="T52" s="106"/>
      <c r="U52" s="106"/>
      <c r="V52" s="106"/>
      <c r="W52" s="106"/>
      <c r="X52" s="106"/>
      <c r="Y52" s="106"/>
      <c r="Z52" s="1"/>
      <c r="AA52" s="1"/>
      <c r="AB52" s="1"/>
    </row>
    <row r="53" ht="15.75" customHeight="1">
      <c r="A53" s="106"/>
      <c r="B53" s="176" t="s">
        <v>62</v>
      </c>
      <c r="C53" s="176" t="s">
        <v>211</v>
      </c>
      <c r="D53" s="174"/>
      <c r="E53" s="169" t="s">
        <v>212</v>
      </c>
      <c r="F53" s="174" t="s">
        <v>213</v>
      </c>
      <c r="G53" s="175" t="s">
        <v>214</v>
      </c>
      <c r="H53" s="171" t="s">
        <v>73</v>
      </c>
      <c r="I53" s="172" t="s">
        <v>126</v>
      </c>
      <c r="J53" s="173"/>
      <c r="K53" s="168" t="s">
        <v>54</v>
      </c>
      <c r="L53" s="168" t="s">
        <v>207</v>
      </c>
      <c r="M53" s="106"/>
      <c r="N53" s="106"/>
      <c r="O53" s="106"/>
      <c r="P53" s="106"/>
      <c r="Q53" s="5"/>
      <c r="R53" s="106"/>
      <c r="S53" s="106"/>
      <c r="T53" s="106"/>
      <c r="U53" s="106"/>
      <c r="V53" s="106"/>
      <c r="W53" s="106"/>
      <c r="X53" s="106"/>
      <c r="Y53" s="106"/>
      <c r="Z53" s="1"/>
      <c r="AA53" s="1"/>
      <c r="AB53" s="1"/>
    </row>
    <row r="54" ht="15.75" customHeight="1">
      <c r="A54" s="106"/>
      <c r="B54" s="176" t="s">
        <v>62</v>
      </c>
      <c r="C54" s="176" t="s">
        <v>211</v>
      </c>
      <c r="D54" s="176"/>
      <c r="E54" s="169" t="s">
        <v>215</v>
      </c>
      <c r="F54" s="176" t="s">
        <v>216</v>
      </c>
      <c r="G54" s="175" t="s">
        <v>217</v>
      </c>
      <c r="H54" s="171" t="s">
        <v>73</v>
      </c>
      <c r="I54" s="172" t="s">
        <v>126</v>
      </c>
      <c r="J54" s="173"/>
      <c r="K54" s="168" t="s">
        <v>54</v>
      </c>
      <c r="L54" s="168" t="s">
        <v>207</v>
      </c>
      <c r="M54" s="106"/>
      <c r="N54" s="106"/>
      <c r="O54" s="106"/>
      <c r="P54" s="106"/>
      <c r="Q54" s="5"/>
      <c r="R54" s="106"/>
      <c r="S54" s="106"/>
      <c r="T54" s="106"/>
      <c r="U54" s="106"/>
      <c r="V54" s="106"/>
      <c r="W54" s="106"/>
      <c r="X54" s="106"/>
      <c r="Y54" s="106"/>
      <c r="Z54" s="1"/>
      <c r="AA54" s="1"/>
      <c r="AB54" s="1"/>
    </row>
    <row r="55" ht="15.75" customHeight="1">
      <c r="A55" s="106"/>
      <c r="B55" s="176" t="s">
        <v>62</v>
      </c>
      <c r="C55" s="176" t="s">
        <v>218</v>
      </c>
      <c r="D55" s="176"/>
      <c r="E55" s="169" t="s">
        <v>219</v>
      </c>
      <c r="F55" s="176" t="s">
        <v>220</v>
      </c>
      <c r="G55" s="175" t="s">
        <v>221</v>
      </c>
      <c r="H55" s="171" t="s">
        <v>73</v>
      </c>
      <c r="I55" s="172" t="s">
        <v>126</v>
      </c>
      <c r="J55" s="173"/>
      <c r="K55" s="168" t="s">
        <v>54</v>
      </c>
      <c r="L55" s="168" t="s">
        <v>207</v>
      </c>
      <c r="M55" s="106"/>
      <c r="N55" s="106"/>
      <c r="O55" s="106"/>
      <c r="P55" s="106"/>
      <c r="Q55" s="5"/>
      <c r="R55" s="106"/>
      <c r="S55" s="106"/>
      <c r="T55" s="106"/>
      <c r="U55" s="106"/>
      <c r="V55" s="106"/>
      <c r="W55" s="106"/>
      <c r="X55" s="106"/>
      <c r="Y55" s="106"/>
      <c r="Z55" s="1"/>
      <c r="AA55" s="1"/>
      <c r="AB55" s="1"/>
    </row>
    <row r="56" ht="15.75" customHeight="1">
      <c r="A56" s="106"/>
      <c r="B56" s="176" t="s">
        <v>62</v>
      </c>
      <c r="C56" s="176" t="s">
        <v>222</v>
      </c>
      <c r="D56" s="176"/>
      <c r="E56" s="169" t="s">
        <v>223</v>
      </c>
      <c r="F56" s="176" t="s">
        <v>224</v>
      </c>
      <c r="G56" s="175" t="s">
        <v>225</v>
      </c>
      <c r="H56" s="171" t="s">
        <v>73</v>
      </c>
      <c r="I56" s="172" t="s">
        <v>126</v>
      </c>
      <c r="J56" s="173"/>
      <c r="K56" s="168" t="s">
        <v>54</v>
      </c>
      <c r="L56" s="168" t="s">
        <v>207</v>
      </c>
      <c r="M56" s="106"/>
      <c r="N56" s="106"/>
      <c r="O56" s="106"/>
      <c r="P56" s="106"/>
      <c r="Q56" s="5"/>
      <c r="R56" s="106"/>
      <c r="S56" s="106"/>
      <c r="T56" s="106"/>
      <c r="U56" s="106"/>
      <c r="V56" s="106"/>
      <c r="W56" s="106"/>
      <c r="X56" s="106"/>
      <c r="Y56" s="106"/>
      <c r="Z56" s="1"/>
      <c r="AA56" s="1"/>
      <c r="AB56" s="1"/>
    </row>
    <row r="57" ht="15.75" customHeight="1">
      <c r="A57" s="106"/>
      <c r="B57" s="176" t="s">
        <v>62</v>
      </c>
      <c r="C57" s="176" t="s">
        <v>222</v>
      </c>
      <c r="D57" s="176"/>
      <c r="E57" s="169" t="s">
        <v>226</v>
      </c>
      <c r="F57" s="176" t="s">
        <v>227</v>
      </c>
      <c r="G57" s="175" t="s">
        <v>228</v>
      </c>
      <c r="H57" s="171" t="s">
        <v>73</v>
      </c>
      <c r="I57" s="172" t="s">
        <v>126</v>
      </c>
      <c r="J57" s="173"/>
      <c r="K57" s="168" t="s">
        <v>54</v>
      </c>
      <c r="L57" s="168" t="s">
        <v>207</v>
      </c>
      <c r="M57" s="106"/>
      <c r="N57" s="106"/>
      <c r="O57" s="106"/>
      <c r="P57" s="106"/>
      <c r="Q57" s="5"/>
      <c r="R57" s="106"/>
      <c r="S57" s="106"/>
      <c r="T57" s="106"/>
      <c r="U57" s="106"/>
      <c r="V57" s="106"/>
      <c r="W57" s="106"/>
      <c r="X57" s="106"/>
      <c r="Y57" s="106"/>
      <c r="Z57" s="1"/>
      <c r="AA57" s="1"/>
      <c r="AB57" s="1"/>
    </row>
    <row r="58" ht="15.75" customHeight="1">
      <c r="A58" s="106"/>
      <c r="B58" s="177" t="s">
        <v>62</v>
      </c>
      <c r="C58" s="177" t="s">
        <v>229</v>
      </c>
      <c r="D58" s="178"/>
      <c r="E58" s="179" t="s">
        <v>230</v>
      </c>
      <c r="F58" s="177" t="s">
        <v>231</v>
      </c>
      <c r="G58" s="180" t="s">
        <v>232</v>
      </c>
      <c r="H58" s="155" t="s">
        <v>7</v>
      </c>
      <c r="I58" s="165" t="s">
        <v>233</v>
      </c>
      <c r="J58" s="157"/>
      <c r="K58" s="153"/>
      <c r="L58" s="153"/>
      <c r="M58" s="106"/>
      <c r="N58" s="106"/>
      <c r="O58" s="106"/>
      <c r="P58" s="106"/>
      <c r="Q58" s="5"/>
      <c r="R58" s="106"/>
      <c r="S58" s="106"/>
      <c r="T58" s="106"/>
      <c r="U58" s="106"/>
      <c r="V58" s="106"/>
      <c r="W58" s="106"/>
      <c r="X58" s="106"/>
      <c r="Y58" s="106"/>
      <c r="Z58" s="1"/>
      <c r="AA58" s="1"/>
      <c r="AB58" s="1"/>
    </row>
    <row r="59" ht="15.75" customHeight="1">
      <c r="A59" s="106"/>
      <c r="B59" s="178" t="s">
        <v>62</v>
      </c>
      <c r="C59" s="178" t="s">
        <v>234</v>
      </c>
      <c r="D59" s="178"/>
      <c r="E59" s="179" t="s">
        <v>235</v>
      </c>
      <c r="F59" s="177" t="s">
        <v>236</v>
      </c>
      <c r="G59" s="159" t="s">
        <v>237</v>
      </c>
      <c r="H59" s="155" t="s">
        <v>7</v>
      </c>
      <c r="I59" s="165" t="s">
        <v>238</v>
      </c>
      <c r="J59" s="157"/>
      <c r="K59" s="153" t="s">
        <v>54</v>
      </c>
      <c r="L59" s="153"/>
      <c r="M59" s="106"/>
      <c r="N59" s="106"/>
      <c r="O59" s="106"/>
      <c r="P59" s="106"/>
      <c r="Q59" s="5"/>
      <c r="R59" s="106"/>
      <c r="S59" s="106"/>
      <c r="T59" s="106"/>
      <c r="U59" s="106"/>
      <c r="V59" s="106"/>
      <c r="W59" s="106"/>
      <c r="X59" s="106"/>
      <c r="Y59" s="106"/>
      <c r="Z59" s="1"/>
      <c r="AA59" s="1"/>
      <c r="AB59" s="1"/>
    </row>
    <row r="60" ht="15.75" customHeight="1">
      <c r="A60" s="106"/>
      <c r="B60" s="178" t="s">
        <v>62</v>
      </c>
      <c r="C60" s="178" t="s">
        <v>234</v>
      </c>
      <c r="D60" s="178"/>
      <c r="E60" s="181" t="s">
        <v>239</v>
      </c>
      <c r="F60" s="182" t="s">
        <v>240</v>
      </c>
      <c r="G60" s="164" t="s">
        <v>241</v>
      </c>
      <c r="H60" s="155" t="s">
        <v>7</v>
      </c>
      <c r="I60" s="165" t="s">
        <v>242</v>
      </c>
      <c r="J60" s="157"/>
      <c r="K60" s="153" t="s">
        <v>54</v>
      </c>
      <c r="L60" s="153"/>
      <c r="M60" s="106"/>
      <c r="N60" s="106"/>
      <c r="O60" s="106"/>
      <c r="P60" s="106"/>
      <c r="Q60" s="5"/>
      <c r="R60" s="106"/>
      <c r="S60" s="106"/>
      <c r="T60" s="106"/>
      <c r="U60" s="106"/>
      <c r="V60" s="106"/>
      <c r="W60" s="106"/>
      <c r="X60" s="106"/>
      <c r="Y60" s="106"/>
      <c r="Z60" s="1"/>
      <c r="AA60" s="1"/>
      <c r="AB60" s="1"/>
    </row>
    <row r="61" ht="15.75" customHeight="1">
      <c r="A61" s="106"/>
      <c r="B61" s="183" t="s">
        <v>62</v>
      </c>
      <c r="C61" s="183" t="s">
        <v>243</v>
      </c>
      <c r="D61" s="183"/>
      <c r="E61" s="179" t="s">
        <v>244</v>
      </c>
      <c r="F61" s="184" t="s">
        <v>245</v>
      </c>
      <c r="G61" s="185" t="s">
        <v>246</v>
      </c>
      <c r="H61" s="155" t="s">
        <v>7</v>
      </c>
      <c r="I61" s="186" t="s">
        <v>247</v>
      </c>
      <c r="J61" s="157"/>
      <c r="K61" s="153" t="s">
        <v>54</v>
      </c>
      <c r="L61" s="153"/>
      <c r="M61" s="106"/>
      <c r="N61" s="106"/>
      <c r="O61" s="106"/>
      <c r="P61" s="106"/>
      <c r="Q61" s="5"/>
      <c r="R61" s="106"/>
      <c r="S61" s="106"/>
      <c r="T61" s="106"/>
      <c r="U61" s="106"/>
      <c r="V61" s="106"/>
      <c r="W61" s="106"/>
      <c r="X61" s="106"/>
      <c r="Y61" s="106"/>
      <c r="Z61" s="1"/>
      <c r="AA61" s="1"/>
      <c r="AB61" s="1"/>
    </row>
    <row r="62" ht="15.75" customHeight="1">
      <c r="A62" s="106"/>
      <c r="B62" s="174" t="s">
        <v>62</v>
      </c>
      <c r="C62" s="174" t="s">
        <v>243</v>
      </c>
      <c r="D62" s="174"/>
      <c r="E62" s="187" t="s">
        <v>248</v>
      </c>
      <c r="F62" s="188" t="s">
        <v>249</v>
      </c>
      <c r="G62" s="175" t="s">
        <v>246</v>
      </c>
      <c r="H62" s="171" t="s">
        <v>73</v>
      </c>
      <c r="I62" s="172" t="s">
        <v>126</v>
      </c>
      <c r="J62" s="189"/>
      <c r="K62" s="168" t="s">
        <v>54</v>
      </c>
      <c r="L62" s="168" t="s">
        <v>207</v>
      </c>
      <c r="M62" s="106"/>
      <c r="N62" s="106"/>
      <c r="O62" s="106"/>
      <c r="P62" s="106"/>
      <c r="Q62" s="5"/>
      <c r="R62" s="106"/>
      <c r="S62" s="106"/>
      <c r="T62" s="106"/>
      <c r="U62" s="106"/>
      <c r="V62" s="106"/>
      <c r="W62" s="106"/>
      <c r="X62" s="106"/>
      <c r="Y62" s="106"/>
      <c r="Z62" s="1"/>
      <c r="AA62" s="1"/>
      <c r="AB62" s="1"/>
    </row>
    <row r="63" ht="32.25" customHeight="1">
      <c r="A63" s="106"/>
      <c r="B63" s="149" t="s">
        <v>250</v>
      </c>
      <c r="C63" s="150"/>
      <c r="D63" s="150"/>
      <c r="E63" s="151"/>
      <c r="F63" s="150"/>
      <c r="G63" s="150"/>
      <c r="H63" s="150"/>
      <c r="I63" s="150"/>
      <c r="J63" s="150"/>
      <c r="K63" s="150"/>
      <c r="L63" s="150"/>
      <c r="M63" s="106"/>
      <c r="N63" s="106"/>
      <c r="O63" s="106"/>
      <c r="P63" s="106"/>
      <c r="Q63" s="5"/>
      <c r="R63" s="106"/>
      <c r="S63" s="106"/>
      <c r="T63" s="106"/>
      <c r="U63" s="106"/>
      <c r="V63" s="106"/>
      <c r="W63" s="106"/>
      <c r="X63" s="106"/>
      <c r="Y63" s="106"/>
      <c r="Z63" s="1"/>
      <c r="AA63" s="1"/>
      <c r="AB63" s="1"/>
    </row>
    <row r="64" ht="15.75" customHeight="1">
      <c r="A64" s="106"/>
      <c r="B64" s="190" t="s">
        <v>62</v>
      </c>
      <c r="C64" s="190" t="s">
        <v>251</v>
      </c>
      <c r="D64" s="191">
        <v>4.0</v>
      </c>
      <c r="E64" s="192" t="s">
        <v>252</v>
      </c>
      <c r="F64" s="193" t="s">
        <v>253</v>
      </c>
      <c r="G64" s="193" t="s">
        <v>254</v>
      </c>
      <c r="H64" s="194" t="s">
        <v>7</v>
      </c>
      <c r="I64" s="195"/>
      <c r="J64" s="196"/>
      <c r="K64" s="197" t="s">
        <v>54</v>
      </c>
      <c r="L64" s="197" t="s">
        <v>255</v>
      </c>
      <c r="M64" s="106"/>
      <c r="N64" s="106"/>
      <c r="O64" s="106"/>
      <c r="P64" s="106"/>
      <c r="Q64" s="5"/>
      <c r="R64" s="106"/>
      <c r="S64" s="106"/>
      <c r="T64" s="106"/>
      <c r="U64" s="106"/>
      <c r="V64" s="106"/>
      <c r="W64" s="106"/>
      <c r="X64" s="106"/>
      <c r="Y64" s="106"/>
      <c r="Z64" s="1"/>
      <c r="AA64" s="1"/>
      <c r="AB64" s="1"/>
    </row>
    <row r="65" ht="15.75" customHeight="1">
      <c r="A65" s="106"/>
      <c r="B65" s="193" t="s">
        <v>11</v>
      </c>
      <c r="C65" s="190"/>
      <c r="D65" s="191"/>
      <c r="E65" s="192" t="s">
        <v>256</v>
      </c>
      <c r="F65" s="193" t="s">
        <v>257</v>
      </c>
      <c r="G65" s="193" t="s">
        <v>258</v>
      </c>
      <c r="H65" s="194" t="s">
        <v>7</v>
      </c>
      <c r="I65" s="195"/>
      <c r="J65" s="196"/>
      <c r="K65" s="197" t="s">
        <v>54</v>
      </c>
      <c r="L65" s="197" t="s">
        <v>255</v>
      </c>
      <c r="M65" s="106"/>
      <c r="N65" s="106"/>
      <c r="O65" s="106"/>
      <c r="P65" s="106"/>
      <c r="Q65" s="5"/>
      <c r="R65" s="106"/>
      <c r="S65" s="106"/>
      <c r="T65" s="106"/>
      <c r="U65" s="106"/>
      <c r="V65" s="106"/>
      <c r="W65" s="106"/>
      <c r="X65" s="106"/>
      <c r="Y65" s="106"/>
      <c r="Z65" s="1"/>
      <c r="AA65" s="1"/>
      <c r="AB65" s="1"/>
    </row>
    <row r="66" ht="15.75" customHeight="1">
      <c r="A66" s="106"/>
      <c r="B66" s="193" t="s">
        <v>62</v>
      </c>
      <c r="C66" s="198" t="s">
        <v>259</v>
      </c>
      <c r="D66" s="197">
        <v>5.0</v>
      </c>
      <c r="E66" s="197" t="s">
        <v>260</v>
      </c>
      <c r="F66" s="193" t="s">
        <v>261</v>
      </c>
      <c r="G66" s="198" t="s">
        <v>262</v>
      </c>
      <c r="H66" s="194" t="s">
        <v>7</v>
      </c>
      <c r="I66" s="195"/>
      <c r="J66" s="196"/>
      <c r="K66" s="197" t="s">
        <v>54</v>
      </c>
      <c r="L66" s="197" t="s">
        <v>255</v>
      </c>
      <c r="M66" s="106"/>
      <c r="N66" s="106"/>
      <c r="O66" s="106"/>
      <c r="P66" s="106"/>
      <c r="Q66" s="5"/>
      <c r="R66" s="106"/>
      <c r="S66" s="106"/>
      <c r="T66" s="106"/>
      <c r="U66" s="106"/>
      <c r="V66" s="106"/>
      <c r="W66" s="106"/>
      <c r="X66" s="106"/>
      <c r="Y66" s="106"/>
      <c r="Z66" s="1"/>
      <c r="AA66" s="1"/>
      <c r="AB66" s="1"/>
    </row>
    <row r="67" ht="15.75" customHeight="1">
      <c r="A67" s="106"/>
      <c r="B67" s="193" t="s">
        <v>11</v>
      </c>
      <c r="C67" s="198"/>
      <c r="D67" s="197"/>
      <c r="E67" s="197" t="s">
        <v>263</v>
      </c>
      <c r="F67" s="193" t="s">
        <v>257</v>
      </c>
      <c r="G67" s="193" t="s">
        <v>258</v>
      </c>
      <c r="H67" s="194" t="s">
        <v>7</v>
      </c>
      <c r="I67" s="195"/>
      <c r="J67" s="196"/>
      <c r="K67" s="197" t="s">
        <v>54</v>
      </c>
      <c r="L67" s="197" t="s">
        <v>255</v>
      </c>
      <c r="M67" s="106"/>
      <c r="N67" s="106"/>
      <c r="O67" s="106"/>
      <c r="P67" s="106"/>
      <c r="Q67" s="5"/>
      <c r="R67" s="106"/>
      <c r="S67" s="106"/>
      <c r="T67" s="106"/>
      <c r="U67" s="106"/>
      <c r="V67" s="106"/>
      <c r="W67" s="106"/>
      <c r="X67" s="106"/>
      <c r="Y67" s="106"/>
      <c r="Z67" s="1"/>
      <c r="AA67" s="1"/>
      <c r="AB67" s="1"/>
    </row>
    <row r="68" ht="15.75" customHeight="1">
      <c r="A68" s="106"/>
      <c r="B68" s="193" t="s">
        <v>62</v>
      </c>
      <c r="C68" s="198"/>
      <c r="D68" s="197"/>
      <c r="E68" s="197" t="s">
        <v>264</v>
      </c>
      <c r="F68" s="193" t="s">
        <v>265</v>
      </c>
      <c r="G68" s="198" t="s">
        <v>262</v>
      </c>
      <c r="H68" s="194" t="s">
        <v>7</v>
      </c>
      <c r="I68" s="195"/>
      <c r="J68" s="196"/>
      <c r="K68" s="197" t="s">
        <v>54</v>
      </c>
      <c r="L68" s="197" t="s">
        <v>255</v>
      </c>
      <c r="M68" s="106"/>
      <c r="N68" s="106"/>
      <c r="O68" s="106"/>
      <c r="P68" s="106"/>
      <c r="Q68" s="5"/>
      <c r="R68" s="106"/>
      <c r="S68" s="106"/>
      <c r="T68" s="106"/>
      <c r="U68" s="106"/>
      <c r="V68" s="106"/>
      <c r="W68" s="106"/>
      <c r="X68" s="106"/>
      <c r="Y68" s="106"/>
      <c r="Z68" s="1"/>
      <c r="AA68" s="1"/>
      <c r="AB68" s="1"/>
    </row>
    <row r="69" ht="15.75" customHeight="1">
      <c r="A69" s="106"/>
      <c r="B69" s="193" t="s">
        <v>11</v>
      </c>
      <c r="C69" s="198"/>
      <c r="D69" s="197"/>
      <c r="E69" s="197" t="s">
        <v>266</v>
      </c>
      <c r="F69" s="193" t="s">
        <v>257</v>
      </c>
      <c r="G69" s="193" t="s">
        <v>258</v>
      </c>
      <c r="H69" s="194" t="s">
        <v>7</v>
      </c>
      <c r="I69" s="195"/>
      <c r="J69" s="196"/>
      <c r="K69" s="197" t="s">
        <v>54</v>
      </c>
      <c r="L69" s="197" t="s">
        <v>255</v>
      </c>
      <c r="M69" s="106"/>
      <c r="N69" s="106"/>
      <c r="O69" s="106"/>
      <c r="P69" s="106"/>
      <c r="Q69" s="5"/>
      <c r="R69" s="106"/>
      <c r="S69" s="106"/>
      <c r="T69" s="106"/>
      <c r="U69" s="106"/>
      <c r="V69" s="106"/>
      <c r="W69" s="106"/>
      <c r="X69" s="106"/>
      <c r="Y69" s="106"/>
      <c r="Z69" s="1"/>
      <c r="AA69" s="1"/>
      <c r="AB69" s="1"/>
    </row>
    <row r="70" ht="15.75" customHeight="1">
      <c r="A70" s="106"/>
      <c r="B70" s="193" t="s">
        <v>62</v>
      </c>
      <c r="C70" s="198"/>
      <c r="D70" s="197"/>
      <c r="E70" s="197" t="s">
        <v>267</v>
      </c>
      <c r="F70" s="193" t="s">
        <v>268</v>
      </c>
      <c r="G70" s="198" t="s">
        <v>262</v>
      </c>
      <c r="H70" s="194" t="s">
        <v>73</v>
      </c>
      <c r="I70" s="195"/>
      <c r="J70" s="196"/>
      <c r="K70" s="197" t="s">
        <v>54</v>
      </c>
      <c r="L70" s="197" t="s">
        <v>255</v>
      </c>
      <c r="M70" s="106"/>
      <c r="N70" s="106"/>
      <c r="O70" s="106"/>
      <c r="P70" s="106"/>
      <c r="Q70" s="5"/>
      <c r="R70" s="106"/>
      <c r="S70" s="106"/>
      <c r="T70" s="106"/>
      <c r="U70" s="106"/>
      <c r="V70" s="106"/>
      <c r="W70" s="106"/>
      <c r="X70" s="106"/>
      <c r="Y70" s="106"/>
      <c r="Z70" s="1"/>
      <c r="AA70" s="1"/>
      <c r="AB70" s="1"/>
    </row>
    <row r="71" ht="15.75" customHeight="1">
      <c r="A71" s="106"/>
      <c r="B71" s="193" t="s">
        <v>11</v>
      </c>
      <c r="C71" s="198"/>
      <c r="D71" s="197"/>
      <c r="E71" s="197" t="s">
        <v>269</v>
      </c>
      <c r="F71" s="193" t="s">
        <v>257</v>
      </c>
      <c r="G71" s="193" t="s">
        <v>258</v>
      </c>
      <c r="H71" s="194" t="s">
        <v>73</v>
      </c>
      <c r="I71" s="195"/>
      <c r="J71" s="196"/>
      <c r="K71" s="197" t="s">
        <v>54</v>
      </c>
      <c r="L71" s="197" t="s">
        <v>255</v>
      </c>
      <c r="M71" s="106"/>
      <c r="N71" s="106"/>
      <c r="O71" s="106"/>
      <c r="P71" s="106"/>
      <c r="Q71" s="5"/>
      <c r="R71" s="106"/>
      <c r="S71" s="106"/>
      <c r="T71" s="106"/>
      <c r="U71" s="106"/>
      <c r="V71" s="106"/>
      <c r="W71" s="106"/>
      <c r="X71" s="106"/>
      <c r="Y71" s="106"/>
      <c r="Z71" s="1"/>
      <c r="AA71" s="1"/>
      <c r="AB71" s="1"/>
    </row>
    <row r="72" ht="15.75" customHeight="1">
      <c r="A72" s="106"/>
      <c r="B72" s="193" t="s">
        <v>62</v>
      </c>
      <c r="C72" s="198" t="s">
        <v>270</v>
      </c>
      <c r="D72" s="197">
        <v>6.0</v>
      </c>
      <c r="E72" s="197" t="s">
        <v>271</v>
      </c>
      <c r="F72" s="193" t="s">
        <v>272</v>
      </c>
      <c r="G72" s="198" t="s">
        <v>273</v>
      </c>
      <c r="H72" s="194" t="s">
        <v>73</v>
      </c>
      <c r="I72" s="195"/>
      <c r="J72" s="196"/>
      <c r="K72" s="197" t="s">
        <v>54</v>
      </c>
      <c r="L72" s="197" t="s">
        <v>255</v>
      </c>
      <c r="M72" s="106"/>
      <c r="N72" s="106"/>
      <c r="O72" s="106"/>
      <c r="P72" s="106"/>
      <c r="Q72" s="5"/>
      <c r="R72" s="106"/>
      <c r="S72" s="106"/>
      <c r="T72" s="106"/>
      <c r="U72" s="106"/>
      <c r="V72" s="106"/>
      <c r="W72" s="106"/>
      <c r="X72" s="106"/>
      <c r="Y72" s="106"/>
      <c r="Z72" s="1"/>
      <c r="AA72" s="1"/>
      <c r="AB72" s="1"/>
    </row>
    <row r="73" ht="15.75" customHeight="1">
      <c r="A73" s="106"/>
      <c r="B73" s="193" t="s">
        <v>11</v>
      </c>
      <c r="C73" s="198"/>
      <c r="D73" s="197"/>
      <c r="E73" s="197" t="s">
        <v>274</v>
      </c>
      <c r="F73" s="193" t="s">
        <v>257</v>
      </c>
      <c r="G73" s="193" t="s">
        <v>258</v>
      </c>
      <c r="H73" s="194" t="s">
        <v>73</v>
      </c>
      <c r="I73" s="195"/>
      <c r="J73" s="196"/>
      <c r="K73" s="197" t="s">
        <v>54</v>
      </c>
      <c r="L73" s="197" t="s">
        <v>255</v>
      </c>
      <c r="M73" s="106"/>
      <c r="N73" s="106"/>
      <c r="O73" s="106"/>
      <c r="P73" s="106"/>
      <c r="Q73" s="5"/>
      <c r="R73" s="106"/>
      <c r="S73" s="106"/>
      <c r="T73" s="106"/>
      <c r="U73" s="106"/>
      <c r="V73" s="106"/>
      <c r="W73" s="106"/>
      <c r="X73" s="106"/>
      <c r="Y73" s="106"/>
      <c r="Z73" s="1"/>
      <c r="AA73" s="1"/>
      <c r="AB73" s="1"/>
    </row>
    <row r="74" ht="15.75" customHeight="1">
      <c r="A74" s="106"/>
      <c r="B74" s="193" t="s">
        <v>62</v>
      </c>
      <c r="C74" s="198"/>
      <c r="D74" s="197"/>
      <c r="E74" s="197" t="s">
        <v>275</v>
      </c>
      <c r="F74" s="193" t="s">
        <v>276</v>
      </c>
      <c r="G74" s="198" t="s">
        <v>273</v>
      </c>
      <c r="H74" s="194" t="s">
        <v>73</v>
      </c>
      <c r="I74" s="195"/>
      <c r="J74" s="196"/>
      <c r="K74" s="197" t="s">
        <v>54</v>
      </c>
      <c r="L74" s="197" t="s">
        <v>255</v>
      </c>
      <c r="M74" s="106"/>
      <c r="N74" s="106"/>
      <c r="O74" s="106"/>
      <c r="P74" s="106"/>
      <c r="Q74" s="5"/>
      <c r="R74" s="106"/>
      <c r="S74" s="106"/>
      <c r="T74" s="106"/>
      <c r="U74" s="106"/>
      <c r="V74" s="106"/>
      <c r="W74" s="106"/>
      <c r="X74" s="106"/>
      <c r="Y74" s="106"/>
      <c r="Z74" s="1"/>
      <c r="AA74" s="1"/>
      <c r="AB74" s="1"/>
    </row>
    <row r="75" ht="15.75" customHeight="1">
      <c r="A75" s="106"/>
      <c r="B75" s="193" t="s">
        <v>11</v>
      </c>
      <c r="C75" s="198"/>
      <c r="D75" s="197"/>
      <c r="E75" s="197" t="s">
        <v>277</v>
      </c>
      <c r="F75" s="193" t="s">
        <v>257</v>
      </c>
      <c r="G75" s="193" t="s">
        <v>258</v>
      </c>
      <c r="H75" s="194" t="s">
        <v>73</v>
      </c>
      <c r="I75" s="195"/>
      <c r="J75" s="196"/>
      <c r="K75" s="197" t="s">
        <v>54</v>
      </c>
      <c r="L75" s="197" t="s">
        <v>255</v>
      </c>
      <c r="M75" s="106"/>
      <c r="N75" s="106"/>
      <c r="O75" s="106"/>
      <c r="P75" s="106"/>
      <c r="Q75" s="5"/>
      <c r="R75" s="106"/>
      <c r="S75" s="106"/>
      <c r="T75" s="106"/>
      <c r="U75" s="106"/>
      <c r="V75" s="106"/>
      <c r="W75" s="106"/>
      <c r="X75" s="106"/>
      <c r="Y75" s="106"/>
      <c r="Z75" s="1"/>
      <c r="AA75" s="1"/>
      <c r="AB75" s="1"/>
    </row>
    <row r="76" ht="15.75" customHeight="1">
      <c r="A76" s="106"/>
      <c r="B76" s="193" t="s">
        <v>62</v>
      </c>
      <c r="C76" s="198" t="s">
        <v>234</v>
      </c>
      <c r="D76" s="197">
        <v>7.0</v>
      </c>
      <c r="E76" s="197" t="s">
        <v>278</v>
      </c>
      <c r="F76" s="193" t="s">
        <v>279</v>
      </c>
      <c r="G76" s="198" t="s">
        <v>280</v>
      </c>
      <c r="H76" s="194" t="s">
        <v>73</v>
      </c>
      <c r="I76" s="195"/>
      <c r="J76" s="196"/>
      <c r="K76" s="197" t="s">
        <v>54</v>
      </c>
      <c r="L76" s="197" t="s">
        <v>255</v>
      </c>
      <c r="M76" s="106"/>
      <c r="N76" s="106"/>
      <c r="O76" s="106"/>
      <c r="P76" s="106"/>
      <c r="Q76" s="5"/>
      <c r="R76" s="106"/>
      <c r="S76" s="106"/>
      <c r="T76" s="106"/>
      <c r="U76" s="106"/>
      <c r="V76" s="106"/>
      <c r="W76" s="106"/>
      <c r="X76" s="106"/>
      <c r="Y76" s="106"/>
      <c r="Z76" s="1"/>
      <c r="AA76" s="1"/>
      <c r="AB76" s="1"/>
    </row>
    <row r="77" ht="15.75" customHeight="1">
      <c r="A77" s="106"/>
      <c r="B77" s="193" t="s">
        <v>11</v>
      </c>
      <c r="C77" s="198" t="s">
        <v>281</v>
      </c>
      <c r="D77" s="197">
        <v>8.0</v>
      </c>
      <c r="E77" s="197" t="s">
        <v>282</v>
      </c>
      <c r="F77" s="193" t="s">
        <v>283</v>
      </c>
      <c r="G77" s="198" t="s">
        <v>284</v>
      </c>
      <c r="H77" s="194" t="s">
        <v>73</v>
      </c>
      <c r="I77" s="195"/>
      <c r="J77" s="196"/>
      <c r="K77" s="197" t="s">
        <v>54</v>
      </c>
      <c r="L77" s="197" t="s">
        <v>255</v>
      </c>
      <c r="M77" s="106"/>
      <c r="N77" s="106"/>
      <c r="O77" s="106"/>
      <c r="P77" s="106"/>
      <c r="Q77" s="5"/>
      <c r="R77" s="106"/>
      <c r="S77" s="106"/>
      <c r="T77" s="106"/>
      <c r="U77" s="106"/>
      <c r="V77" s="106"/>
      <c r="W77" s="106"/>
      <c r="X77" s="106"/>
      <c r="Y77" s="106"/>
      <c r="Z77" s="1"/>
      <c r="AA77" s="1"/>
      <c r="AB77" s="1"/>
    </row>
    <row r="78" ht="15.75" customHeight="1">
      <c r="A78" s="106"/>
      <c r="B78" s="199" t="s">
        <v>11</v>
      </c>
      <c r="C78" s="200" t="s">
        <v>285</v>
      </c>
      <c r="D78" s="201">
        <v>9.0</v>
      </c>
      <c r="E78" s="201" t="s">
        <v>286</v>
      </c>
      <c r="F78" s="199" t="s">
        <v>287</v>
      </c>
      <c r="G78" s="200" t="s">
        <v>288</v>
      </c>
      <c r="H78" s="194" t="s">
        <v>73</v>
      </c>
      <c r="I78" s="195"/>
      <c r="J78" s="196"/>
      <c r="K78" s="197" t="s">
        <v>54</v>
      </c>
      <c r="L78" s="197" t="s">
        <v>255</v>
      </c>
      <c r="M78" s="106"/>
      <c r="N78" s="106"/>
      <c r="O78" s="106"/>
      <c r="P78" s="106"/>
      <c r="Q78" s="5"/>
      <c r="R78" s="106"/>
      <c r="S78" s="106"/>
      <c r="T78" s="106"/>
      <c r="U78" s="106"/>
      <c r="V78" s="106"/>
      <c r="W78" s="106"/>
      <c r="X78" s="106"/>
      <c r="Y78" s="106"/>
      <c r="Z78" s="1"/>
      <c r="AA78" s="1"/>
      <c r="AB78" s="1"/>
    </row>
    <row r="79" ht="15.75" customHeight="1">
      <c r="A79" s="106"/>
      <c r="B79" s="193" t="s">
        <v>11</v>
      </c>
      <c r="C79" s="198" t="s">
        <v>289</v>
      </c>
      <c r="D79" s="197">
        <v>10.0</v>
      </c>
      <c r="E79" s="197" t="s">
        <v>290</v>
      </c>
      <c r="F79" s="193" t="s">
        <v>291</v>
      </c>
      <c r="G79" s="202" t="s">
        <v>292</v>
      </c>
      <c r="H79" s="194" t="s">
        <v>50</v>
      </c>
      <c r="I79" s="195"/>
      <c r="J79" s="196"/>
      <c r="K79" s="197" t="s">
        <v>54</v>
      </c>
      <c r="L79" s="197" t="s">
        <v>255</v>
      </c>
      <c r="M79" s="106"/>
      <c r="N79" s="106"/>
      <c r="O79" s="106"/>
      <c r="P79" s="106"/>
      <c r="Q79" s="5"/>
      <c r="R79" s="106"/>
      <c r="S79" s="106"/>
      <c r="T79" s="106"/>
      <c r="U79" s="106"/>
      <c r="V79" s="106"/>
      <c r="W79" s="106"/>
      <c r="X79" s="106"/>
      <c r="Y79" s="106"/>
      <c r="Z79" s="1"/>
      <c r="AA79" s="1"/>
      <c r="AB79" s="1"/>
    </row>
    <row r="80" ht="32.25" customHeight="1">
      <c r="A80" s="106"/>
      <c r="B80" s="203"/>
      <c r="C80" s="204"/>
      <c r="D80" s="205"/>
      <c r="E80" s="135"/>
      <c r="F80" s="206"/>
      <c r="G80" s="203"/>
      <c r="H80" s="144"/>
      <c r="I80" s="207"/>
      <c r="J80" s="208"/>
      <c r="K80" s="144"/>
      <c r="L80" s="144"/>
      <c r="M80" s="106"/>
      <c r="N80" s="106"/>
      <c r="O80" s="106"/>
      <c r="P80" s="106"/>
      <c r="Q80" s="5"/>
      <c r="R80" s="106"/>
      <c r="S80" s="106"/>
      <c r="T80" s="106"/>
      <c r="U80" s="106"/>
      <c r="V80" s="106"/>
      <c r="W80" s="106"/>
      <c r="X80" s="106"/>
      <c r="Y80" s="106"/>
      <c r="Z80" s="1"/>
      <c r="AA80" s="1"/>
      <c r="AB80" s="1"/>
    </row>
    <row r="81" ht="15.75" customHeight="1">
      <c r="A81" s="1"/>
      <c r="B81" s="209"/>
      <c r="C81" s="136"/>
      <c r="D81" s="136"/>
      <c r="E81" s="210"/>
      <c r="F81" s="211"/>
      <c r="G81" s="137"/>
      <c r="H81" s="212"/>
      <c r="I81" s="13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0" customHeight="1">
      <c r="A82" s="1"/>
      <c r="B82" s="213" t="s">
        <v>293</v>
      </c>
      <c r="C82" s="136"/>
      <c r="D82" s="136"/>
      <c r="E82" s="210"/>
      <c r="F82" s="211"/>
      <c r="G82" s="137"/>
      <c r="H82" s="212"/>
      <c r="I82" s="13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0" customHeight="1">
      <c r="A83" s="1"/>
      <c r="B83" s="214" t="s">
        <v>294</v>
      </c>
      <c r="C83" s="136"/>
      <c r="D83" s="136"/>
      <c r="E83" s="210"/>
      <c r="F83" s="211"/>
      <c r="G83" s="137"/>
      <c r="H83" s="212"/>
      <c r="I83" s="1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0" customHeight="1">
      <c r="A84" s="1"/>
      <c r="B84" s="214" t="s">
        <v>295</v>
      </c>
      <c r="C84" s="136"/>
      <c r="D84" s="136"/>
      <c r="E84" s="210"/>
      <c r="F84" s="211"/>
      <c r="G84" s="137"/>
      <c r="H84" s="212"/>
      <c r="I84" s="13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0" customHeight="1">
      <c r="A85" s="1"/>
      <c r="B85" s="214" t="s">
        <v>296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0" customHeight="1">
      <c r="A86" s="1"/>
      <c r="B86" s="214" t="s">
        <v>297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0" customHeight="1">
      <c r="A87" s="1"/>
      <c r="B87" s="214" t="s">
        <v>298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0" customHeight="1">
      <c r="A88" s="1"/>
      <c r="B88" s="214" t="s">
        <v>299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7">
    <mergeCell ref="J6:J7"/>
    <mergeCell ref="K6:K7"/>
    <mergeCell ref="J14:J19"/>
    <mergeCell ref="K14:K19"/>
    <mergeCell ref="L14:L19"/>
    <mergeCell ref="B2:J4"/>
    <mergeCell ref="E6:E7"/>
    <mergeCell ref="F6:F7"/>
    <mergeCell ref="G6:G7"/>
    <mergeCell ref="H6:H7"/>
    <mergeCell ref="I6:I7"/>
    <mergeCell ref="B10:J12"/>
    <mergeCell ref="B16:B17"/>
    <mergeCell ref="C16:C17"/>
    <mergeCell ref="G16:G17"/>
    <mergeCell ref="H16:H17"/>
    <mergeCell ref="I16:I17"/>
    <mergeCell ref="G18:G19"/>
    <mergeCell ref="H18:H19"/>
    <mergeCell ref="I18:I19"/>
    <mergeCell ref="D6:D7"/>
    <mergeCell ref="D14:D15"/>
    <mergeCell ref="E14:E15"/>
    <mergeCell ref="F14:F15"/>
    <mergeCell ref="G14:G15"/>
    <mergeCell ref="H14:H15"/>
    <mergeCell ref="I14:I15"/>
  </mergeCells>
  <dataValidations>
    <dataValidation type="list" allowBlank="1" showErrorMessage="1" sqref="C8 C16">
      <formula1>"Development,UAT"</formula1>
    </dataValidation>
    <dataValidation type="list" allowBlank="1" showErrorMessage="1" sqref="B23:B24 B26:B28 B30:B33 B35:B42 B44:B51">
      <formula1>"Input Data,Cek Data,Cek Laporan,Cek Jurnal,COB,Reverse Data,Otorisasi Data"</formula1>
    </dataValidation>
    <dataValidation type="list" allowBlank="1" showErrorMessage="1" sqref="H23:H33 H35:H42 H44:H62 H64:H80 G81:G84">
      <formula1>"Berhasil,Gagal,Siap dites,Tidak dites,Belum dites,Butuh konfirmasi"</formula1>
    </dataValidation>
    <dataValidation type="list" allowBlank="1" showErrorMessage="1" sqref="C7 C15 C18:C19">
      <formula1>"New Project,Enhancement,Bug Fixing"</formula1>
    </dataValidation>
    <dataValidation type="list" allowBlank="1" showErrorMessage="1" sqref="K23:K33 K35:K42 K44:K62 K64:K80 I81:I84">
      <formula1>"Script Plan,Script Tambahan"</formula1>
    </dataValidation>
  </dataValidations>
  <printOptions/>
  <pageMargins bottom="0.2362204724409449" footer="0.0" header="0.0" left="0.1968503937007874" right="0.1968503937007874" top="0.1968503937007874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3" width="16.57"/>
    <col customWidth="1" min="4" max="4" width="16.43"/>
    <col customWidth="1" min="5" max="5" width="12.14"/>
    <col customWidth="1" min="6" max="6" width="16.0"/>
    <col customWidth="1" min="7" max="24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11" t="s">
        <v>2</v>
      </c>
      <c r="C5" s="14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9"/>
      <c r="C6" s="20"/>
      <c r="D6" s="2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6" t="s">
        <v>4</v>
      </c>
      <c r="C7" s="26" t="s">
        <v>5</v>
      </c>
      <c r="D7" s="26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6"/>
      <c r="C8" s="36"/>
      <c r="D8" s="3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1" t="s">
        <v>7</v>
      </c>
      <c r="C9" s="61">
        <f>COUNTIF('UAT Script'!H22:H79,"Berhasil")</f>
        <v>17</v>
      </c>
      <c r="D9" s="68">
        <f>C9/C15</f>
        <v>0.3148148148</v>
      </c>
      <c r="E9" s="1"/>
      <c r="F9" s="6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4" t="s">
        <v>40</v>
      </c>
      <c r="C10" s="80">
        <f>COUNTIF('UAT Script'!H22:H79,"Gagal")</f>
        <v>0</v>
      </c>
      <c r="D10" s="82">
        <f>C10/C15</f>
        <v>0</v>
      </c>
      <c r="E10" s="1"/>
      <c r="F10" s="6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7" t="s">
        <v>51</v>
      </c>
      <c r="C11" s="91">
        <f>COUNTIF('UAT Script'!H22:H79,"Siap dites")</f>
        <v>0</v>
      </c>
      <c r="D11" s="97">
        <f>C11/C15</f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0" t="s">
        <v>73</v>
      </c>
      <c r="C12" s="105">
        <f>COUNTIF('UAT Script'!H22:H79,"Tidak dites")</f>
        <v>36</v>
      </c>
      <c r="D12" s="107">
        <f>C12/C15</f>
        <v>0.6666666667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8" t="s">
        <v>86</v>
      </c>
      <c r="C13" s="111">
        <f>COUNTIF('UAT Script'!H22:H79,"Belum dites")</f>
        <v>0</v>
      </c>
      <c r="D13" s="115">
        <f>C13/C15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6" t="s">
        <v>50</v>
      </c>
      <c r="C14" s="118">
        <f>COUNTIF('UAT Script'!H22:H79,"Butuh Konfirmasi")</f>
        <v>1</v>
      </c>
      <c r="D14" s="119">
        <f>C14/C15</f>
        <v>0.01851851852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1" t="s">
        <v>107</v>
      </c>
      <c r="C15" s="125">
        <f t="shared" ref="C15:D15" si="1">SUM(C9:C14)</f>
        <v>54</v>
      </c>
      <c r="D15" s="127">
        <f t="shared" si="1"/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1" t="s">
        <v>114</v>
      </c>
      <c r="C16" s="133">
        <f>SUM(D9,D12)</f>
        <v>0.9814814815</v>
      </c>
      <c r="D16" s="5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9"/>
      <c r="C17" s="142"/>
      <c r="D17" s="14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5:D6"/>
    <mergeCell ref="B7:B8"/>
    <mergeCell ref="C7:C8"/>
    <mergeCell ref="D7:D8"/>
    <mergeCell ref="C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0.43"/>
    <col customWidth="1" min="3" max="3" width="21.86"/>
    <col customWidth="1" min="4" max="4" width="60.43"/>
    <col customWidth="1" min="5" max="5" width="57.0"/>
    <col customWidth="1" min="6" max="6" width="21.43"/>
    <col customWidth="1" min="7" max="7" width="17.43"/>
    <col customWidth="1" min="8" max="8" width="19.29"/>
    <col customWidth="1" min="9" max="9" width="16.43"/>
    <col customWidth="1" min="10" max="10" width="25.86"/>
    <col customWidth="1" min="11" max="11" width="23.71"/>
    <col customWidth="1" min="12" max="12" width="27.14"/>
    <col customWidth="1" min="13" max="13" width="20.29"/>
    <col customWidth="1" min="14" max="14" width="25.14"/>
    <col customWidth="1" min="15" max="15" width="4.14"/>
    <col customWidth="1" hidden="1" min="16" max="16" width="9.71"/>
    <col customWidth="1" hidden="1" min="17" max="17" width="14.86"/>
    <col customWidth="1" hidden="1" min="18" max="18" width="7.57"/>
    <col customWidth="1" min="19" max="26" width="9.14"/>
  </cols>
  <sheetData>
    <row r="1" ht="15.75" customHeight="1">
      <c r="A1" s="3"/>
      <c r="B1" s="3"/>
      <c r="C1" s="3"/>
      <c r="D1" s="3"/>
      <c r="E1" s="3"/>
      <c r="F1" s="3"/>
      <c r="G1" s="3"/>
      <c r="H1" s="6"/>
      <c r="I1" s="8"/>
      <c r="J1" s="3"/>
      <c r="K1" s="9"/>
      <c r="L1" s="9"/>
      <c r="M1" s="12"/>
      <c r="N1" s="1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3"/>
      <c r="B2" s="22" t="s">
        <v>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3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3"/>
      <c r="B3" s="34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40"/>
      <c r="O3" s="3"/>
      <c r="P3" s="3" t="s">
        <v>8</v>
      </c>
      <c r="Q3" s="3" t="s">
        <v>9</v>
      </c>
      <c r="R3" s="3" t="s">
        <v>10</v>
      </c>
      <c r="S3" s="3"/>
      <c r="T3" s="3"/>
      <c r="U3" s="3"/>
      <c r="V3" s="3"/>
      <c r="W3" s="3"/>
      <c r="X3" s="3"/>
      <c r="Y3" s="3"/>
      <c r="Z3" s="3"/>
    </row>
    <row r="4" ht="29.25" customHeight="1">
      <c r="A4" s="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4.25" customHeight="1">
      <c r="A5" s="48"/>
      <c r="B5" s="50" t="s">
        <v>12</v>
      </c>
      <c r="C5" s="52"/>
      <c r="D5" s="54"/>
      <c r="E5" s="56"/>
      <c r="F5" s="54"/>
      <c r="G5" s="58"/>
      <c r="H5" s="58"/>
      <c r="I5" s="50" t="s">
        <v>29</v>
      </c>
      <c r="J5" s="54"/>
      <c r="K5" s="63"/>
      <c r="L5" s="52"/>
      <c r="M5" s="52"/>
      <c r="N5" s="54"/>
      <c r="O5" s="48"/>
      <c r="P5" s="3" t="s">
        <v>32</v>
      </c>
      <c r="Q5" s="3" t="s">
        <v>33</v>
      </c>
      <c r="R5" s="3" t="s">
        <v>34</v>
      </c>
      <c r="S5" s="48"/>
      <c r="T5" s="48"/>
      <c r="U5" s="48"/>
      <c r="V5" s="48"/>
      <c r="W5" s="48"/>
      <c r="X5" s="48"/>
      <c r="Y5" s="48"/>
      <c r="Z5" s="48"/>
    </row>
    <row r="6" ht="44.25" customHeight="1">
      <c r="A6" s="48"/>
      <c r="B6" s="50" t="s">
        <v>36</v>
      </c>
      <c r="C6" s="52"/>
      <c r="D6" s="54"/>
      <c r="E6" s="71"/>
      <c r="F6" s="54"/>
      <c r="G6" s="58"/>
      <c r="H6" s="58"/>
      <c r="I6" s="50" t="s">
        <v>39</v>
      </c>
      <c r="J6" s="54"/>
      <c r="K6" s="78"/>
      <c r="L6" s="52"/>
      <c r="M6" s="52"/>
      <c r="N6" s="54"/>
      <c r="O6" s="48"/>
      <c r="P6" s="3" t="s">
        <v>48</v>
      </c>
      <c r="Q6" s="3" t="s">
        <v>49</v>
      </c>
      <c r="R6" s="3"/>
      <c r="S6" s="48"/>
      <c r="T6" s="48"/>
      <c r="U6" s="48"/>
      <c r="V6" s="48"/>
      <c r="W6" s="48"/>
      <c r="X6" s="48"/>
      <c r="Y6" s="48"/>
      <c r="Z6" s="48"/>
    </row>
    <row r="7" ht="15.75" customHeight="1">
      <c r="A7" s="48"/>
      <c r="B7" s="48"/>
      <c r="C7" s="81"/>
      <c r="D7" s="48"/>
      <c r="E7" s="48"/>
      <c r="F7" s="48"/>
      <c r="G7" s="48"/>
      <c r="H7" s="83"/>
      <c r="I7" s="84"/>
      <c r="J7" s="48"/>
      <c r="K7" s="85"/>
      <c r="L7" s="85"/>
      <c r="M7" s="81"/>
      <c r="N7" s="81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34.5" customHeight="1">
      <c r="A8" s="89"/>
      <c r="B8" s="90" t="s">
        <v>53</v>
      </c>
      <c r="C8" s="92" t="s">
        <v>18</v>
      </c>
      <c r="D8" s="90" t="s">
        <v>16</v>
      </c>
      <c r="E8" s="90" t="s">
        <v>55</v>
      </c>
      <c r="F8" s="90" t="s">
        <v>56</v>
      </c>
      <c r="G8" s="94" t="s">
        <v>57</v>
      </c>
      <c r="H8" s="96" t="s">
        <v>61</v>
      </c>
      <c r="I8" s="98" t="s">
        <v>66</v>
      </c>
      <c r="J8" s="90" t="s">
        <v>69</v>
      </c>
      <c r="K8" s="90" t="s">
        <v>71</v>
      </c>
      <c r="L8" s="96" t="s">
        <v>72</v>
      </c>
      <c r="M8" s="90" t="s">
        <v>23</v>
      </c>
      <c r="N8" s="90" t="s">
        <v>74</v>
      </c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32.25" customHeight="1">
      <c r="A9" s="3"/>
      <c r="B9" s="101"/>
      <c r="C9" s="79"/>
      <c r="D9" s="104"/>
      <c r="E9" s="104"/>
      <c r="F9" s="101"/>
      <c r="G9" s="79"/>
      <c r="H9" s="88"/>
      <c r="I9" s="110"/>
      <c r="J9" s="112"/>
      <c r="K9" s="114"/>
      <c r="L9" s="88"/>
      <c r="M9" s="79"/>
      <c r="N9" s="8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2.25" customHeight="1">
      <c r="A10" s="3"/>
      <c r="B10" s="101"/>
      <c r="C10" s="79"/>
      <c r="D10" s="104"/>
      <c r="E10" s="104"/>
      <c r="F10" s="101"/>
      <c r="G10" s="79"/>
      <c r="H10" s="88"/>
      <c r="I10" s="110" t="str">
        <f t="shared" ref="I10:I14" si="1">IF(H10&lt;&gt;"",IF(N10&lt;&gt;"",N10-H10,TODAY()-H10),"")</f>
        <v/>
      </c>
      <c r="J10" s="112"/>
      <c r="K10" s="114"/>
      <c r="L10" s="88"/>
      <c r="M10" s="79"/>
      <c r="N10" s="88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2.25" customHeight="1">
      <c r="A11" s="3"/>
      <c r="B11" s="101"/>
      <c r="C11" s="79"/>
      <c r="D11" s="104"/>
      <c r="E11" s="104"/>
      <c r="F11" s="101"/>
      <c r="G11" s="79"/>
      <c r="H11" s="88"/>
      <c r="I11" s="110" t="str">
        <f t="shared" si="1"/>
        <v/>
      </c>
      <c r="J11" s="112"/>
      <c r="K11" s="114"/>
      <c r="L11" s="88"/>
      <c r="M11" s="79"/>
      <c r="N11" s="8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2.25" customHeight="1">
      <c r="A12" s="3"/>
      <c r="B12" s="101"/>
      <c r="C12" s="79"/>
      <c r="D12" s="104"/>
      <c r="E12" s="104"/>
      <c r="F12" s="101"/>
      <c r="G12" s="79"/>
      <c r="H12" s="88"/>
      <c r="I12" s="110" t="str">
        <f t="shared" si="1"/>
        <v/>
      </c>
      <c r="J12" s="112"/>
      <c r="K12" s="114"/>
      <c r="L12" s="88"/>
      <c r="M12" s="79"/>
      <c r="N12" s="8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2.25" customHeight="1">
      <c r="A13" s="3"/>
      <c r="B13" s="101"/>
      <c r="C13" s="79"/>
      <c r="D13" s="104"/>
      <c r="E13" s="104"/>
      <c r="F13" s="101"/>
      <c r="G13" s="79"/>
      <c r="H13" s="88"/>
      <c r="I13" s="110" t="str">
        <f t="shared" si="1"/>
        <v/>
      </c>
      <c r="J13" s="112"/>
      <c r="K13" s="114"/>
      <c r="L13" s="88"/>
      <c r="M13" s="79"/>
      <c r="N13" s="8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2.25" customHeight="1">
      <c r="A14" s="3"/>
      <c r="B14" s="101"/>
      <c r="C14" s="79"/>
      <c r="D14" s="104"/>
      <c r="E14" s="104"/>
      <c r="F14" s="101"/>
      <c r="G14" s="79"/>
      <c r="H14" s="88"/>
      <c r="I14" s="110" t="str">
        <f t="shared" si="1"/>
        <v/>
      </c>
      <c r="J14" s="112"/>
      <c r="K14" s="114"/>
      <c r="L14" s="88"/>
      <c r="M14" s="79"/>
      <c r="N14" s="8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134"/>
      <c r="C15" s="135"/>
      <c r="D15" s="136"/>
      <c r="E15" s="136"/>
      <c r="F15" s="12"/>
      <c r="G15" s="137"/>
      <c r="H15" s="140"/>
      <c r="I15" s="143"/>
      <c r="J15" s="144"/>
      <c r="K15" s="145"/>
      <c r="L15" s="140"/>
      <c r="M15" s="137"/>
      <c r="N15" s="14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134"/>
      <c r="C16" s="135"/>
      <c r="D16" s="136"/>
      <c r="E16" s="136"/>
      <c r="F16" s="12"/>
      <c r="G16" s="137"/>
      <c r="H16" s="140"/>
      <c r="I16" s="143"/>
      <c r="J16" s="144"/>
      <c r="K16" s="145"/>
      <c r="L16" s="140"/>
      <c r="M16" s="137"/>
      <c r="N16" s="14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9" t="s">
        <v>116</v>
      </c>
      <c r="F17" s="3"/>
      <c r="G17" s="3"/>
      <c r="H17" s="6"/>
      <c r="I17" s="8"/>
      <c r="J17" s="3"/>
      <c r="K17" s="9"/>
      <c r="L17" s="9"/>
      <c r="M17" s="12"/>
      <c r="N17" s="1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6"/>
      <c r="I18" s="8"/>
      <c r="J18" s="3"/>
      <c r="K18" s="9"/>
      <c r="L18" s="9"/>
      <c r="M18" s="12"/>
      <c r="N18" s="1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6"/>
      <c r="I19" s="8"/>
      <c r="J19" s="3"/>
      <c r="K19" s="9"/>
      <c r="L19" s="9"/>
      <c r="M19" s="12"/>
      <c r="N19" s="1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6"/>
      <c r="I20" s="8"/>
      <c r="J20" s="3"/>
      <c r="K20" s="9"/>
      <c r="L20" s="9"/>
      <c r="M20" s="12"/>
      <c r="N20" s="1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6"/>
      <c r="I21" s="8"/>
      <c r="J21" s="3"/>
      <c r="K21" s="9"/>
      <c r="L21" s="9"/>
      <c r="M21" s="12"/>
      <c r="N21" s="1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6"/>
      <c r="I22" s="8"/>
      <c r="J22" s="3"/>
      <c r="K22" s="9"/>
      <c r="L22" s="9"/>
      <c r="M22" s="12"/>
      <c r="N22" s="1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6"/>
      <c r="I23" s="8"/>
      <c r="J23" s="3"/>
      <c r="K23" s="9"/>
      <c r="L23" s="9"/>
      <c r="M23" s="12"/>
      <c r="N23" s="1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6"/>
      <c r="I24" s="8"/>
      <c r="J24" s="3"/>
      <c r="K24" s="9"/>
      <c r="L24" s="9"/>
      <c r="M24" s="12"/>
      <c r="N24" s="1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6"/>
      <c r="I25" s="8"/>
      <c r="J25" s="3"/>
      <c r="K25" s="9"/>
      <c r="L25" s="9"/>
      <c r="M25" s="12"/>
      <c r="N25" s="1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6"/>
      <c r="I26" s="8"/>
      <c r="J26" s="3"/>
      <c r="K26" s="9"/>
      <c r="L26" s="9"/>
      <c r="M26" s="12"/>
      <c r="N26" s="1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6"/>
      <c r="I27" s="8"/>
      <c r="J27" s="3"/>
      <c r="K27" s="9"/>
      <c r="L27" s="9"/>
      <c r="M27" s="12"/>
      <c r="N27" s="1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6"/>
      <c r="I28" s="8"/>
      <c r="J28" s="3"/>
      <c r="K28" s="9"/>
      <c r="L28" s="9"/>
      <c r="M28" s="12"/>
      <c r="N28" s="1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6"/>
      <c r="I29" s="8"/>
      <c r="J29" s="3"/>
      <c r="K29" s="9"/>
      <c r="L29" s="9"/>
      <c r="M29" s="12"/>
      <c r="N29" s="1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6"/>
      <c r="I30" s="8"/>
      <c r="J30" s="3"/>
      <c r="K30" s="9"/>
      <c r="L30" s="9"/>
      <c r="M30" s="12"/>
      <c r="N30" s="1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6"/>
      <c r="I31" s="8"/>
      <c r="J31" s="3"/>
      <c r="K31" s="9"/>
      <c r="L31" s="9"/>
      <c r="M31" s="12"/>
      <c r="N31" s="1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6"/>
      <c r="I32" s="8"/>
      <c r="J32" s="3"/>
      <c r="K32" s="9"/>
      <c r="L32" s="9"/>
      <c r="M32" s="12"/>
      <c r="N32" s="1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6"/>
      <c r="I33" s="8"/>
      <c r="J33" s="3"/>
      <c r="K33" s="9"/>
      <c r="L33" s="9"/>
      <c r="M33" s="12"/>
      <c r="N33" s="1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6"/>
      <c r="I34" s="8"/>
      <c r="J34" s="3"/>
      <c r="K34" s="9"/>
      <c r="L34" s="9"/>
      <c r="M34" s="12"/>
      <c r="N34" s="1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6"/>
      <c r="I35" s="8"/>
      <c r="J35" s="3"/>
      <c r="K35" s="9"/>
      <c r="L35" s="9"/>
      <c r="M35" s="12"/>
      <c r="N35" s="1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6"/>
      <c r="I36" s="8"/>
      <c r="J36" s="3"/>
      <c r="K36" s="9"/>
      <c r="L36" s="9"/>
      <c r="M36" s="12"/>
      <c r="N36" s="1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6"/>
      <c r="I37" s="8"/>
      <c r="J37" s="3"/>
      <c r="K37" s="9"/>
      <c r="L37" s="9"/>
      <c r="M37" s="12"/>
      <c r="N37" s="1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6"/>
      <c r="I38" s="8"/>
      <c r="J38" s="3"/>
      <c r="K38" s="9"/>
      <c r="L38" s="9"/>
      <c r="M38" s="12"/>
      <c r="N38" s="1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6"/>
      <c r="I39" s="8"/>
      <c r="J39" s="3"/>
      <c r="K39" s="9"/>
      <c r="L39" s="9"/>
      <c r="M39" s="12"/>
      <c r="N39" s="1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6"/>
      <c r="I40" s="8"/>
      <c r="J40" s="3"/>
      <c r="K40" s="9"/>
      <c r="L40" s="9"/>
      <c r="M40" s="12"/>
      <c r="N40" s="1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6"/>
      <c r="I41" s="8"/>
      <c r="J41" s="3"/>
      <c r="K41" s="9"/>
      <c r="L41" s="9"/>
      <c r="M41" s="12"/>
      <c r="N41" s="1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6"/>
      <c r="I42" s="8"/>
      <c r="J42" s="3"/>
      <c r="K42" s="9"/>
      <c r="L42" s="9"/>
      <c r="M42" s="12"/>
      <c r="N42" s="1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6"/>
      <c r="I43" s="8"/>
      <c r="J43" s="3"/>
      <c r="K43" s="9"/>
      <c r="L43" s="9"/>
      <c r="M43" s="12"/>
      <c r="N43" s="1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6"/>
      <c r="I44" s="8"/>
      <c r="J44" s="3"/>
      <c r="K44" s="9"/>
      <c r="L44" s="9"/>
      <c r="M44" s="12"/>
      <c r="N44" s="1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6"/>
      <c r="I45" s="8"/>
      <c r="J45" s="3"/>
      <c r="K45" s="9"/>
      <c r="L45" s="9"/>
      <c r="M45" s="12"/>
      <c r="N45" s="1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6"/>
      <c r="I46" s="8"/>
      <c r="J46" s="3"/>
      <c r="K46" s="9"/>
      <c r="L46" s="9"/>
      <c r="M46" s="12"/>
      <c r="N46" s="1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6"/>
      <c r="I47" s="8"/>
      <c r="J47" s="3"/>
      <c r="K47" s="9"/>
      <c r="L47" s="9"/>
      <c r="M47" s="12"/>
      <c r="N47" s="1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6"/>
      <c r="I48" s="8"/>
      <c r="J48" s="3"/>
      <c r="K48" s="9"/>
      <c r="L48" s="9"/>
      <c r="M48" s="12"/>
      <c r="N48" s="1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6"/>
      <c r="I49" s="8"/>
      <c r="J49" s="3"/>
      <c r="K49" s="9"/>
      <c r="L49" s="9"/>
      <c r="M49" s="12"/>
      <c r="N49" s="1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6"/>
      <c r="I50" s="8"/>
      <c r="J50" s="3"/>
      <c r="K50" s="9"/>
      <c r="L50" s="9"/>
      <c r="M50" s="12"/>
      <c r="N50" s="1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6"/>
      <c r="I51" s="8"/>
      <c r="J51" s="3"/>
      <c r="K51" s="9"/>
      <c r="L51" s="9"/>
      <c r="M51" s="12"/>
      <c r="N51" s="1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6"/>
      <c r="I52" s="8"/>
      <c r="J52" s="3"/>
      <c r="K52" s="9"/>
      <c r="L52" s="9"/>
      <c r="M52" s="12"/>
      <c r="N52" s="1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6"/>
      <c r="I53" s="8"/>
      <c r="J53" s="3"/>
      <c r="K53" s="9"/>
      <c r="L53" s="9"/>
      <c r="M53" s="12"/>
      <c r="N53" s="1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6"/>
      <c r="I54" s="8"/>
      <c r="J54" s="3"/>
      <c r="K54" s="9"/>
      <c r="L54" s="9"/>
      <c r="M54" s="12"/>
      <c r="N54" s="1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6"/>
      <c r="I55" s="8"/>
      <c r="J55" s="3"/>
      <c r="K55" s="9"/>
      <c r="L55" s="9"/>
      <c r="M55" s="12"/>
      <c r="N55" s="1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6"/>
      <c r="I56" s="8"/>
      <c r="J56" s="3"/>
      <c r="K56" s="9"/>
      <c r="L56" s="9"/>
      <c r="M56" s="12"/>
      <c r="N56" s="1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6"/>
      <c r="I57" s="8"/>
      <c r="J57" s="3"/>
      <c r="K57" s="9"/>
      <c r="L57" s="9"/>
      <c r="M57" s="12"/>
      <c r="N57" s="1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6"/>
      <c r="I58" s="8"/>
      <c r="J58" s="3"/>
      <c r="K58" s="9"/>
      <c r="L58" s="9"/>
      <c r="M58" s="12"/>
      <c r="N58" s="1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6"/>
      <c r="I59" s="8"/>
      <c r="J59" s="3"/>
      <c r="K59" s="9"/>
      <c r="L59" s="9"/>
      <c r="M59" s="12"/>
      <c r="N59" s="1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6"/>
      <c r="I60" s="8"/>
      <c r="J60" s="3"/>
      <c r="K60" s="9"/>
      <c r="L60" s="9"/>
      <c r="M60" s="12"/>
      <c r="N60" s="1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6"/>
      <c r="I61" s="8"/>
      <c r="J61" s="3"/>
      <c r="K61" s="9"/>
      <c r="L61" s="9"/>
      <c r="M61" s="12"/>
      <c r="N61" s="1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6"/>
      <c r="I62" s="8"/>
      <c r="J62" s="3"/>
      <c r="K62" s="9"/>
      <c r="L62" s="9"/>
      <c r="M62" s="12"/>
      <c r="N62" s="1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6"/>
      <c r="I63" s="8"/>
      <c r="J63" s="3"/>
      <c r="K63" s="9"/>
      <c r="L63" s="9"/>
      <c r="M63" s="12"/>
      <c r="N63" s="1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6"/>
      <c r="I64" s="8"/>
      <c r="J64" s="3"/>
      <c r="K64" s="9"/>
      <c r="L64" s="9"/>
      <c r="M64" s="12"/>
      <c r="N64" s="1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6"/>
      <c r="I65" s="8"/>
      <c r="J65" s="3"/>
      <c r="K65" s="9"/>
      <c r="L65" s="9"/>
      <c r="M65" s="12"/>
      <c r="N65" s="1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6"/>
      <c r="I66" s="8"/>
      <c r="J66" s="3"/>
      <c r="K66" s="9"/>
      <c r="L66" s="9"/>
      <c r="M66" s="12"/>
      <c r="N66" s="1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6"/>
      <c r="I67" s="8"/>
      <c r="J67" s="3"/>
      <c r="K67" s="9"/>
      <c r="L67" s="9"/>
      <c r="M67" s="12"/>
      <c r="N67" s="1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6"/>
      <c r="I68" s="8"/>
      <c r="J68" s="3"/>
      <c r="K68" s="9"/>
      <c r="L68" s="9"/>
      <c r="M68" s="12"/>
      <c r="N68" s="1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6"/>
      <c r="I69" s="8"/>
      <c r="J69" s="3"/>
      <c r="K69" s="9"/>
      <c r="L69" s="9"/>
      <c r="M69" s="12"/>
      <c r="N69" s="1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6"/>
      <c r="I70" s="8"/>
      <c r="J70" s="3"/>
      <c r="K70" s="9"/>
      <c r="L70" s="9"/>
      <c r="M70" s="12"/>
      <c r="N70" s="1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6"/>
      <c r="I71" s="8"/>
      <c r="J71" s="3"/>
      <c r="K71" s="9"/>
      <c r="L71" s="9"/>
      <c r="M71" s="12"/>
      <c r="N71" s="1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6"/>
      <c r="I72" s="8"/>
      <c r="J72" s="3"/>
      <c r="K72" s="9"/>
      <c r="L72" s="9"/>
      <c r="M72" s="12"/>
      <c r="N72" s="1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6"/>
      <c r="I73" s="8"/>
      <c r="J73" s="3"/>
      <c r="K73" s="9"/>
      <c r="L73" s="9"/>
      <c r="M73" s="12"/>
      <c r="N73" s="1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6"/>
      <c r="I74" s="8"/>
      <c r="J74" s="3"/>
      <c r="K74" s="9"/>
      <c r="L74" s="9"/>
      <c r="M74" s="12"/>
      <c r="N74" s="1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6"/>
      <c r="I75" s="8"/>
      <c r="J75" s="3"/>
      <c r="K75" s="9"/>
      <c r="L75" s="9"/>
      <c r="M75" s="12"/>
      <c r="N75" s="1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6"/>
      <c r="I76" s="8"/>
      <c r="J76" s="3"/>
      <c r="K76" s="9"/>
      <c r="L76" s="9"/>
      <c r="M76" s="12"/>
      <c r="N76" s="1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6"/>
      <c r="I77" s="8"/>
      <c r="J77" s="3"/>
      <c r="K77" s="9"/>
      <c r="L77" s="9"/>
      <c r="M77" s="12"/>
      <c r="N77" s="1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6"/>
      <c r="I78" s="8"/>
      <c r="J78" s="3"/>
      <c r="K78" s="9"/>
      <c r="L78" s="9"/>
      <c r="M78" s="12"/>
      <c r="N78" s="1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6"/>
      <c r="I79" s="8"/>
      <c r="J79" s="3"/>
      <c r="K79" s="9"/>
      <c r="L79" s="9"/>
      <c r="M79" s="12"/>
      <c r="N79" s="1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6"/>
      <c r="I80" s="8"/>
      <c r="J80" s="3"/>
      <c r="K80" s="9"/>
      <c r="L80" s="9"/>
      <c r="M80" s="12"/>
      <c r="N80" s="1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6"/>
      <c r="I81" s="8"/>
      <c r="J81" s="3"/>
      <c r="K81" s="9"/>
      <c r="L81" s="9"/>
      <c r="M81" s="12"/>
      <c r="N81" s="1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6"/>
      <c r="I82" s="8"/>
      <c r="J82" s="3"/>
      <c r="K82" s="9"/>
      <c r="L82" s="9"/>
      <c r="M82" s="12"/>
      <c r="N82" s="1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6"/>
      <c r="I83" s="8"/>
      <c r="J83" s="3"/>
      <c r="K83" s="9"/>
      <c r="L83" s="9"/>
      <c r="M83" s="12"/>
      <c r="N83" s="1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6"/>
      <c r="I84" s="8"/>
      <c r="J84" s="3"/>
      <c r="K84" s="9"/>
      <c r="L84" s="9"/>
      <c r="M84" s="12"/>
      <c r="N84" s="1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6"/>
      <c r="I85" s="8"/>
      <c r="J85" s="3"/>
      <c r="K85" s="9"/>
      <c r="L85" s="9"/>
      <c r="M85" s="12"/>
      <c r="N85" s="1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6"/>
      <c r="I86" s="8"/>
      <c r="J86" s="3"/>
      <c r="K86" s="9"/>
      <c r="L86" s="9"/>
      <c r="M86" s="12"/>
      <c r="N86" s="1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6"/>
      <c r="I87" s="8"/>
      <c r="J87" s="3"/>
      <c r="K87" s="9"/>
      <c r="L87" s="9"/>
      <c r="M87" s="12"/>
      <c r="N87" s="1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6"/>
      <c r="I88" s="8"/>
      <c r="J88" s="3"/>
      <c r="K88" s="9"/>
      <c r="L88" s="9"/>
      <c r="M88" s="12"/>
      <c r="N88" s="1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6"/>
      <c r="I89" s="8"/>
      <c r="J89" s="3"/>
      <c r="K89" s="9"/>
      <c r="L89" s="9"/>
      <c r="M89" s="12"/>
      <c r="N89" s="1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6"/>
      <c r="I90" s="8"/>
      <c r="J90" s="3"/>
      <c r="K90" s="9"/>
      <c r="L90" s="9"/>
      <c r="M90" s="12"/>
      <c r="N90" s="1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6"/>
      <c r="I91" s="8"/>
      <c r="J91" s="3"/>
      <c r="K91" s="9"/>
      <c r="L91" s="9"/>
      <c r="M91" s="12"/>
      <c r="N91" s="1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6"/>
      <c r="I92" s="8"/>
      <c r="J92" s="3"/>
      <c r="K92" s="9"/>
      <c r="L92" s="9"/>
      <c r="M92" s="12"/>
      <c r="N92" s="1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6"/>
      <c r="I93" s="8"/>
      <c r="J93" s="3"/>
      <c r="K93" s="9"/>
      <c r="L93" s="9"/>
      <c r="M93" s="12"/>
      <c r="N93" s="1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6"/>
      <c r="I94" s="8"/>
      <c r="J94" s="3"/>
      <c r="K94" s="9"/>
      <c r="L94" s="9"/>
      <c r="M94" s="12"/>
      <c r="N94" s="1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6"/>
      <c r="I95" s="8"/>
      <c r="J95" s="3"/>
      <c r="K95" s="9"/>
      <c r="L95" s="9"/>
      <c r="M95" s="12"/>
      <c r="N95" s="1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6"/>
      <c r="I96" s="8"/>
      <c r="J96" s="3"/>
      <c r="K96" s="9"/>
      <c r="L96" s="9"/>
      <c r="M96" s="12"/>
      <c r="N96" s="1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6"/>
      <c r="I97" s="8"/>
      <c r="J97" s="3"/>
      <c r="K97" s="9"/>
      <c r="L97" s="9"/>
      <c r="M97" s="12"/>
      <c r="N97" s="1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6"/>
      <c r="I98" s="8"/>
      <c r="J98" s="3"/>
      <c r="K98" s="9"/>
      <c r="L98" s="9"/>
      <c r="M98" s="12"/>
      <c r="N98" s="1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6"/>
      <c r="I99" s="8"/>
      <c r="J99" s="3"/>
      <c r="K99" s="9"/>
      <c r="L99" s="9"/>
      <c r="M99" s="12"/>
      <c r="N99" s="1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6"/>
      <c r="I100" s="8"/>
      <c r="J100" s="3"/>
      <c r="K100" s="9"/>
      <c r="L100" s="9"/>
      <c r="M100" s="12"/>
      <c r="N100" s="1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6"/>
      <c r="I101" s="8"/>
      <c r="J101" s="3"/>
      <c r="K101" s="9"/>
      <c r="L101" s="9"/>
      <c r="M101" s="12"/>
      <c r="N101" s="1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6"/>
      <c r="I102" s="8"/>
      <c r="J102" s="3"/>
      <c r="K102" s="9"/>
      <c r="L102" s="9"/>
      <c r="M102" s="12"/>
      <c r="N102" s="1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6"/>
      <c r="I103" s="8"/>
      <c r="J103" s="3"/>
      <c r="K103" s="9"/>
      <c r="L103" s="9"/>
      <c r="M103" s="12"/>
      <c r="N103" s="1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6"/>
      <c r="I104" s="8"/>
      <c r="J104" s="3"/>
      <c r="K104" s="9"/>
      <c r="L104" s="9"/>
      <c r="M104" s="12"/>
      <c r="N104" s="1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6"/>
      <c r="I105" s="8"/>
      <c r="J105" s="3"/>
      <c r="K105" s="9"/>
      <c r="L105" s="9"/>
      <c r="M105" s="12"/>
      <c r="N105" s="1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6"/>
      <c r="I106" s="8"/>
      <c r="J106" s="3"/>
      <c r="K106" s="9"/>
      <c r="L106" s="9"/>
      <c r="M106" s="12"/>
      <c r="N106" s="1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6"/>
      <c r="I107" s="8"/>
      <c r="J107" s="3"/>
      <c r="K107" s="9"/>
      <c r="L107" s="9"/>
      <c r="M107" s="12"/>
      <c r="N107" s="1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6"/>
      <c r="I108" s="8"/>
      <c r="J108" s="3"/>
      <c r="K108" s="9"/>
      <c r="L108" s="9"/>
      <c r="M108" s="12"/>
      <c r="N108" s="1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6"/>
      <c r="I109" s="8"/>
      <c r="J109" s="3"/>
      <c r="K109" s="9"/>
      <c r="L109" s="9"/>
      <c r="M109" s="12"/>
      <c r="N109" s="1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6"/>
      <c r="I110" s="8"/>
      <c r="J110" s="3"/>
      <c r="K110" s="9"/>
      <c r="L110" s="9"/>
      <c r="M110" s="12"/>
      <c r="N110" s="1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6"/>
      <c r="I111" s="8"/>
      <c r="J111" s="3"/>
      <c r="K111" s="9"/>
      <c r="L111" s="9"/>
      <c r="M111" s="12"/>
      <c r="N111" s="1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6"/>
      <c r="I112" s="8"/>
      <c r="J112" s="3"/>
      <c r="K112" s="9"/>
      <c r="L112" s="9"/>
      <c r="M112" s="12"/>
      <c r="N112" s="1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6"/>
      <c r="I113" s="8"/>
      <c r="J113" s="3"/>
      <c r="K113" s="9"/>
      <c r="L113" s="9"/>
      <c r="M113" s="12"/>
      <c r="N113" s="1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6"/>
      <c r="I114" s="8"/>
      <c r="J114" s="3"/>
      <c r="K114" s="9"/>
      <c r="L114" s="9"/>
      <c r="M114" s="12"/>
      <c r="N114" s="1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6"/>
      <c r="I115" s="8"/>
      <c r="J115" s="3"/>
      <c r="K115" s="9"/>
      <c r="L115" s="9"/>
      <c r="M115" s="12"/>
      <c r="N115" s="1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6"/>
      <c r="I116" s="8"/>
      <c r="J116" s="3"/>
      <c r="K116" s="9"/>
      <c r="L116" s="9"/>
      <c r="M116" s="12"/>
      <c r="N116" s="1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6"/>
      <c r="I117" s="8"/>
      <c r="J117" s="3"/>
      <c r="K117" s="9"/>
      <c r="L117" s="9"/>
      <c r="M117" s="12"/>
      <c r="N117" s="1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6"/>
      <c r="I118" s="8"/>
      <c r="J118" s="3"/>
      <c r="K118" s="9"/>
      <c r="L118" s="9"/>
      <c r="M118" s="12"/>
      <c r="N118" s="1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6"/>
      <c r="I119" s="8"/>
      <c r="J119" s="3"/>
      <c r="K119" s="9"/>
      <c r="L119" s="9"/>
      <c r="M119" s="12"/>
      <c r="N119" s="1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6"/>
      <c r="I120" s="8"/>
      <c r="J120" s="3"/>
      <c r="K120" s="9"/>
      <c r="L120" s="9"/>
      <c r="M120" s="12"/>
      <c r="N120" s="1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6"/>
      <c r="I121" s="8"/>
      <c r="J121" s="3"/>
      <c r="K121" s="9"/>
      <c r="L121" s="9"/>
      <c r="M121" s="12"/>
      <c r="N121" s="1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6"/>
      <c r="I122" s="8"/>
      <c r="J122" s="3"/>
      <c r="K122" s="9"/>
      <c r="L122" s="9"/>
      <c r="M122" s="12"/>
      <c r="N122" s="1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6"/>
      <c r="I123" s="8"/>
      <c r="J123" s="3"/>
      <c r="K123" s="9"/>
      <c r="L123" s="9"/>
      <c r="M123" s="12"/>
      <c r="N123" s="1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6"/>
      <c r="I124" s="8"/>
      <c r="J124" s="3"/>
      <c r="K124" s="9"/>
      <c r="L124" s="9"/>
      <c r="M124" s="12"/>
      <c r="N124" s="1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6"/>
      <c r="I125" s="8"/>
      <c r="J125" s="3"/>
      <c r="K125" s="9"/>
      <c r="L125" s="9"/>
      <c r="M125" s="12"/>
      <c r="N125" s="1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6"/>
      <c r="I126" s="8"/>
      <c r="J126" s="3"/>
      <c r="K126" s="9"/>
      <c r="L126" s="9"/>
      <c r="M126" s="12"/>
      <c r="N126" s="1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6"/>
      <c r="I127" s="8"/>
      <c r="J127" s="3"/>
      <c r="K127" s="9"/>
      <c r="L127" s="9"/>
      <c r="M127" s="12"/>
      <c r="N127" s="1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6"/>
      <c r="I128" s="8"/>
      <c r="J128" s="3"/>
      <c r="K128" s="9"/>
      <c r="L128" s="9"/>
      <c r="M128" s="12"/>
      <c r="N128" s="1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6"/>
      <c r="I129" s="8"/>
      <c r="J129" s="3"/>
      <c r="K129" s="9"/>
      <c r="L129" s="9"/>
      <c r="M129" s="12"/>
      <c r="N129" s="1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6"/>
      <c r="I130" s="8"/>
      <c r="J130" s="3"/>
      <c r="K130" s="9"/>
      <c r="L130" s="9"/>
      <c r="M130" s="12"/>
      <c r="N130" s="1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6"/>
      <c r="I131" s="8"/>
      <c r="J131" s="3"/>
      <c r="K131" s="9"/>
      <c r="L131" s="9"/>
      <c r="M131" s="12"/>
      <c r="N131" s="1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6"/>
      <c r="I132" s="8"/>
      <c r="J132" s="3"/>
      <c r="K132" s="9"/>
      <c r="L132" s="9"/>
      <c r="M132" s="12"/>
      <c r="N132" s="1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6"/>
      <c r="I133" s="8"/>
      <c r="J133" s="3"/>
      <c r="K133" s="9"/>
      <c r="L133" s="9"/>
      <c r="M133" s="12"/>
      <c r="N133" s="1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6"/>
      <c r="I134" s="8"/>
      <c r="J134" s="3"/>
      <c r="K134" s="9"/>
      <c r="L134" s="9"/>
      <c r="M134" s="12"/>
      <c r="N134" s="1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6"/>
      <c r="I135" s="8"/>
      <c r="J135" s="3"/>
      <c r="K135" s="9"/>
      <c r="L135" s="9"/>
      <c r="M135" s="12"/>
      <c r="N135" s="1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6"/>
      <c r="I136" s="8"/>
      <c r="J136" s="3"/>
      <c r="K136" s="9"/>
      <c r="L136" s="9"/>
      <c r="M136" s="12"/>
      <c r="N136" s="1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6"/>
      <c r="I137" s="8"/>
      <c r="J137" s="3"/>
      <c r="K137" s="9"/>
      <c r="L137" s="9"/>
      <c r="M137" s="12"/>
      <c r="N137" s="1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6"/>
      <c r="I138" s="8"/>
      <c r="J138" s="3"/>
      <c r="K138" s="9"/>
      <c r="L138" s="9"/>
      <c r="M138" s="12"/>
      <c r="N138" s="1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6"/>
      <c r="I139" s="8"/>
      <c r="J139" s="3"/>
      <c r="K139" s="9"/>
      <c r="L139" s="9"/>
      <c r="M139" s="12"/>
      <c r="N139" s="1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6"/>
      <c r="I140" s="8"/>
      <c r="J140" s="3"/>
      <c r="K140" s="9"/>
      <c r="L140" s="9"/>
      <c r="M140" s="12"/>
      <c r="N140" s="1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6"/>
      <c r="I141" s="8"/>
      <c r="J141" s="3"/>
      <c r="K141" s="9"/>
      <c r="L141" s="9"/>
      <c r="M141" s="12"/>
      <c r="N141" s="1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6"/>
      <c r="I142" s="8"/>
      <c r="J142" s="3"/>
      <c r="K142" s="9"/>
      <c r="L142" s="9"/>
      <c r="M142" s="12"/>
      <c r="N142" s="1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6"/>
      <c r="I143" s="8"/>
      <c r="J143" s="3"/>
      <c r="K143" s="9"/>
      <c r="L143" s="9"/>
      <c r="M143" s="12"/>
      <c r="N143" s="1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6"/>
      <c r="I144" s="8"/>
      <c r="J144" s="3"/>
      <c r="K144" s="9"/>
      <c r="L144" s="9"/>
      <c r="M144" s="12"/>
      <c r="N144" s="1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6"/>
      <c r="I145" s="8"/>
      <c r="J145" s="3"/>
      <c r="K145" s="9"/>
      <c r="L145" s="9"/>
      <c r="M145" s="12"/>
      <c r="N145" s="1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6"/>
      <c r="I146" s="8"/>
      <c r="J146" s="3"/>
      <c r="K146" s="9"/>
      <c r="L146" s="9"/>
      <c r="M146" s="12"/>
      <c r="N146" s="1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6"/>
      <c r="I147" s="8"/>
      <c r="J147" s="3"/>
      <c r="K147" s="9"/>
      <c r="L147" s="9"/>
      <c r="M147" s="12"/>
      <c r="N147" s="1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6"/>
      <c r="I148" s="8"/>
      <c r="J148" s="3"/>
      <c r="K148" s="9"/>
      <c r="L148" s="9"/>
      <c r="M148" s="12"/>
      <c r="N148" s="1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6"/>
      <c r="I149" s="8"/>
      <c r="J149" s="3"/>
      <c r="K149" s="9"/>
      <c r="L149" s="9"/>
      <c r="M149" s="12"/>
      <c r="N149" s="1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6"/>
      <c r="I150" s="8"/>
      <c r="J150" s="3"/>
      <c r="K150" s="9"/>
      <c r="L150" s="9"/>
      <c r="M150" s="12"/>
      <c r="N150" s="1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6"/>
      <c r="I151" s="8"/>
      <c r="J151" s="3"/>
      <c r="K151" s="9"/>
      <c r="L151" s="9"/>
      <c r="M151" s="12"/>
      <c r="N151" s="1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6"/>
      <c r="I152" s="8"/>
      <c r="J152" s="3"/>
      <c r="K152" s="9"/>
      <c r="L152" s="9"/>
      <c r="M152" s="12"/>
      <c r="N152" s="1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6"/>
      <c r="I153" s="8"/>
      <c r="J153" s="3"/>
      <c r="K153" s="9"/>
      <c r="L153" s="9"/>
      <c r="M153" s="12"/>
      <c r="N153" s="1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6"/>
      <c r="I154" s="8"/>
      <c r="J154" s="3"/>
      <c r="K154" s="9"/>
      <c r="L154" s="9"/>
      <c r="M154" s="12"/>
      <c r="N154" s="1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6"/>
      <c r="I155" s="8"/>
      <c r="J155" s="3"/>
      <c r="K155" s="9"/>
      <c r="L155" s="9"/>
      <c r="M155" s="12"/>
      <c r="N155" s="1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6"/>
      <c r="I156" s="8"/>
      <c r="J156" s="3"/>
      <c r="K156" s="9"/>
      <c r="L156" s="9"/>
      <c r="M156" s="12"/>
      <c r="N156" s="1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6"/>
      <c r="I157" s="8"/>
      <c r="J157" s="3"/>
      <c r="K157" s="9"/>
      <c r="L157" s="9"/>
      <c r="M157" s="12"/>
      <c r="N157" s="1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6"/>
      <c r="I158" s="8"/>
      <c r="J158" s="3"/>
      <c r="K158" s="9"/>
      <c r="L158" s="9"/>
      <c r="M158" s="12"/>
      <c r="N158" s="1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6"/>
      <c r="I159" s="8"/>
      <c r="J159" s="3"/>
      <c r="K159" s="9"/>
      <c r="L159" s="9"/>
      <c r="M159" s="12"/>
      <c r="N159" s="1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6"/>
      <c r="I160" s="8"/>
      <c r="J160" s="3"/>
      <c r="K160" s="9"/>
      <c r="L160" s="9"/>
      <c r="M160" s="12"/>
      <c r="N160" s="1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6"/>
      <c r="I161" s="8"/>
      <c r="J161" s="3"/>
      <c r="K161" s="9"/>
      <c r="L161" s="9"/>
      <c r="M161" s="12"/>
      <c r="N161" s="1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6"/>
      <c r="I162" s="8"/>
      <c r="J162" s="3"/>
      <c r="K162" s="9"/>
      <c r="L162" s="9"/>
      <c r="M162" s="12"/>
      <c r="N162" s="1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6"/>
      <c r="I163" s="8"/>
      <c r="J163" s="3"/>
      <c r="K163" s="9"/>
      <c r="L163" s="9"/>
      <c r="M163" s="12"/>
      <c r="N163" s="1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6"/>
      <c r="I164" s="8"/>
      <c r="J164" s="3"/>
      <c r="K164" s="9"/>
      <c r="L164" s="9"/>
      <c r="M164" s="12"/>
      <c r="N164" s="1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6"/>
      <c r="I165" s="8"/>
      <c r="J165" s="3"/>
      <c r="K165" s="9"/>
      <c r="L165" s="9"/>
      <c r="M165" s="12"/>
      <c r="N165" s="1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6"/>
      <c r="I166" s="8"/>
      <c r="J166" s="3"/>
      <c r="K166" s="9"/>
      <c r="L166" s="9"/>
      <c r="M166" s="12"/>
      <c r="N166" s="1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6"/>
      <c r="I167" s="8"/>
      <c r="J167" s="3"/>
      <c r="K167" s="9"/>
      <c r="L167" s="9"/>
      <c r="M167" s="12"/>
      <c r="N167" s="1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6"/>
      <c r="I168" s="8"/>
      <c r="J168" s="3"/>
      <c r="K168" s="9"/>
      <c r="L168" s="9"/>
      <c r="M168" s="12"/>
      <c r="N168" s="1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6"/>
      <c r="I169" s="8"/>
      <c r="J169" s="3"/>
      <c r="K169" s="9"/>
      <c r="L169" s="9"/>
      <c r="M169" s="12"/>
      <c r="N169" s="1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6"/>
      <c r="I170" s="8"/>
      <c r="J170" s="3"/>
      <c r="K170" s="9"/>
      <c r="L170" s="9"/>
      <c r="M170" s="12"/>
      <c r="N170" s="1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6"/>
      <c r="I171" s="8"/>
      <c r="J171" s="3"/>
      <c r="K171" s="9"/>
      <c r="L171" s="9"/>
      <c r="M171" s="12"/>
      <c r="N171" s="1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6"/>
      <c r="I172" s="8"/>
      <c r="J172" s="3"/>
      <c r="K172" s="9"/>
      <c r="L172" s="9"/>
      <c r="M172" s="12"/>
      <c r="N172" s="1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6"/>
      <c r="I173" s="8"/>
      <c r="J173" s="3"/>
      <c r="K173" s="9"/>
      <c r="L173" s="9"/>
      <c r="M173" s="12"/>
      <c r="N173" s="1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6"/>
      <c r="I174" s="8"/>
      <c r="J174" s="3"/>
      <c r="K174" s="9"/>
      <c r="L174" s="9"/>
      <c r="M174" s="12"/>
      <c r="N174" s="1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6"/>
      <c r="I175" s="8"/>
      <c r="J175" s="3"/>
      <c r="K175" s="9"/>
      <c r="L175" s="9"/>
      <c r="M175" s="12"/>
      <c r="N175" s="1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6"/>
      <c r="I176" s="8"/>
      <c r="J176" s="3"/>
      <c r="K176" s="9"/>
      <c r="L176" s="9"/>
      <c r="M176" s="12"/>
      <c r="N176" s="1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6"/>
      <c r="I177" s="8"/>
      <c r="J177" s="3"/>
      <c r="K177" s="9"/>
      <c r="L177" s="9"/>
      <c r="M177" s="12"/>
      <c r="N177" s="1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6"/>
      <c r="I178" s="8"/>
      <c r="J178" s="3"/>
      <c r="K178" s="9"/>
      <c r="L178" s="9"/>
      <c r="M178" s="12"/>
      <c r="N178" s="1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6"/>
      <c r="I179" s="8"/>
      <c r="J179" s="3"/>
      <c r="K179" s="9"/>
      <c r="L179" s="9"/>
      <c r="M179" s="12"/>
      <c r="N179" s="1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6"/>
      <c r="I180" s="8"/>
      <c r="J180" s="3"/>
      <c r="K180" s="9"/>
      <c r="L180" s="9"/>
      <c r="M180" s="12"/>
      <c r="N180" s="1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6"/>
      <c r="I181" s="8"/>
      <c r="J181" s="3"/>
      <c r="K181" s="9"/>
      <c r="L181" s="9"/>
      <c r="M181" s="12"/>
      <c r="N181" s="1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6"/>
      <c r="I182" s="8"/>
      <c r="J182" s="3"/>
      <c r="K182" s="9"/>
      <c r="L182" s="9"/>
      <c r="M182" s="12"/>
      <c r="N182" s="1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6"/>
      <c r="I183" s="8"/>
      <c r="J183" s="3"/>
      <c r="K183" s="9"/>
      <c r="L183" s="9"/>
      <c r="M183" s="12"/>
      <c r="N183" s="1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6"/>
      <c r="I184" s="8"/>
      <c r="J184" s="3"/>
      <c r="K184" s="9"/>
      <c r="L184" s="9"/>
      <c r="M184" s="12"/>
      <c r="N184" s="1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6"/>
      <c r="I185" s="8"/>
      <c r="J185" s="3"/>
      <c r="K185" s="9"/>
      <c r="L185" s="9"/>
      <c r="M185" s="12"/>
      <c r="N185" s="1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6"/>
      <c r="I186" s="8"/>
      <c r="J186" s="3"/>
      <c r="K186" s="9"/>
      <c r="L186" s="9"/>
      <c r="M186" s="12"/>
      <c r="N186" s="1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6"/>
      <c r="I187" s="8"/>
      <c r="J187" s="3"/>
      <c r="K187" s="9"/>
      <c r="L187" s="9"/>
      <c r="M187" s="12"/>
      <c r="N187" s="1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6"/>
      <c r="I188" s="8"/>
      <c r="J188" s="3"/>
      <c r="K188" s="9"/>
      <c r="L188" s="9"/>
      <c r="M188" s="12"/>
      <c r="N188" s="1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6"/>
      <c r="I189" s="8"/>
      <c r="J189" s="3"/>
      <c r="K189" s="9"/>
      <c r="L189" s="9"/>
      <c r="M189" s="12"/>
      <c r="N189" s="1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6"/>
      <c r="I190" s="8"/>
      <c r="J190" s="3"/>
      <c r="K190" s="9"/>
      <c r="L190" s="9"/>
      <c r="M190" s="12"/>
      <c r="N190" s="1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6"/>
      <c r="I191" s="8"/>
      <c r="J191" s="3"/>
      <c r="K191" s="9"/>
      <c r="L191" s="9"/>
      <c r="M191" s="12"/>
      <c r="N191" s="1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6"/>
      <c r="I192" s="8"/>
      <c r="J192" s="3"/>
      <c r="K192" s="9"/>
      <c r="L192" s="9"/>
      <c r="M192" s="12"/>
      <c r="N192" s="1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6"/>
      <c r="I193" s="8"/>
      <c r="J193" s="3"/>
      <c r="K193" s="9"/>
      <c r="L193" s="9"/>
      <c r="M193" s="12"/>
      <c r="N193" s="1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6"/>
      <c r="I194" s="8"/>
      <c r="J194" s="3"/>
      <c r="K194" s="9"/>
      <c r="L194" s="9"/>
      <c r="M194" s="12"/>
      <c r="N194" s="1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6"/>
      <c r="I195" s="8"/>
      <c r="J195" s="3"/>
      <c r="K195" s="9"/>
      <c r="L195" s="9"/>
      <c r="M195" s="12"/>
      <c r="N195" s="1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6"/>
      <c r="I196" s="8"/>
      <c r="J196" s="3"/>
      <c r="K196" s="9"/>
      <c r="L196" s="9"/>
      <c r="M196" s="12"/>
      <c r="N196" s="1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6"/>
      <c r="I197" s="8"/>
      <c r="J197" s="3"/>
      <c r="K197" s="9"/>
      <c r="L197" s="9"/>
      <c r="M197" s="12"/>
      <c r="N197" s="1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6"/>
      <c r="I198" s="8"/>
      <c r="J198" s="3"/>
      <c r="K198" s="9"/>
      <c r="L198" s="9"/>
      <c r="M198" s="12"/>
      <c r="N198" s="1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6"/>
      <c r="I199" s="8"/>
      <c r="J199" s="3"/>
      <c r="K199" s="9"/>
      <c r="L199" s="9"/>
      <c r="M199" s="12"/>
      <c r="N199" s="1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6"/>
      <c r="I200" s="8"/>
      <c r="J200" s="3"/>
      <c r="K200" s="9"/>
      <c r="L200" s="9"/>
      <c r="M200" s="12"/>
      <c r="N200" s="1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6"/>
      <c r="I201" s="8"/>
      <c r="J201" s="3"/>
      <c r="K201" s="9"/>
      <c r="L201" s="9"/>
      <c r="M201" s="12"/>
      <c r="N201" s="1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6"/>
      <c r="I202" s="8"/>
      <c r="J202" s="3"/>
      <c r="K202" s="9"/>
      <c r="L202" s="9"/>
      <c r="M202" s="12"/>
      <c r="N202" s="1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6"/>
      <c r="I203" s="8"/>
      <c r="J203" s="3"/>
      <c r="K203" s="9"/>
      <c r="L203" s="9"/>
      <c r="M203" s="12"/>
      <c r="N203" s="1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6"/>
      <c r="I204" s="8"/>
      <c r="J204" s="3"/>
      <c r="K204" s="9"/>
      <c r="L204" s="9"/>
      <c r="M204" s="12"/>
      <c r="N204" s="1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6"/>
      <c r="I205" s="8"/>
      <c r="J205" s="3"/>
      <c r="K205" s="9"/>
      <c r="L205" s="9"/>
      <c r="M205" s="12"/>
      <c r="N205" s="1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6"/>
      <c r="I206" s="8"/>
      <c r="J206" s="3"/>
      <c r="K206" s="9"/>
      <c r="L206" s="9"/>
      <c r="M206" s="12"/>
      <c r="N206" s="1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6"/>
      <c r="I207" s="8"/>
      <c r="J207" s="3"/>
      <c r="K207" s="9"/>
      <c r="L207" s="9"/>
      <c r="M207" s="12"/>
      <c r="N207" s="1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6"/>
      <c r="I208" s="8"/>
      <c r="J208" s="3"/>
      <c r="K208" s="9"/>
      <c r="L208" s="9"/>
      <c r="M208" s="12"/>
      <c r="N208" s="1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6"/>
      <c r="I209" s="8"/>
      <c r="J209" s="3"/>
      <c r="K209" s="9"/>
      <c r="L209" s="9"/>
      <c r="M209" s="12"/>
      <c r="N209" s="1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6"/>
      <c r="I210" s="8"/>
      <c r="J210" s="3"/>
      <c r="K210" s="9"/>
      <c r="L210" s="9"/>
      <c r="M210" s="12"/>
      <c r="N210" s="1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6"/>
      <c r="I211" s="8"/>
      <c r="J211" s="3"/>
      <c r="K211" s="9"/>
      <c r="L211" s="9"/>
      <c r="M211" s="12"/>
      <c r="N211" s="1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6"/>
      <c r="I212" s="8"/>
      <c r="J212" s="3"/>
      <c r="K212" s="9"/>
      <c r="L212" s="9"/>
      <c r="M212" s="12"/>
      <c r="N212" s="1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6"/>
      <c r="I213" s="8"/>
      <c r="J213" s="3"/>
      <c r="K213" s="9"/>
      <c r="L213" s="9"/>
      <c r="M213" s="12"/>
      <c r="N213" s="1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6"/>
      <c r="I214" s="8"/>
      <c r="J214" s="3"/>
      <c r="K214" s="9"/>
      <c r="L214" s="9"/>
      <c r="M214" s="12"/>
      <c r="N214" s="1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6"/>
      <c r="I215" s="8"/>
      <c r="J215" s="3"/>
      <c r="K215" s="9"/>
      <c r="L215" s="9"/>
      <c r="M215" s="12"/>
      <c r="N215" s="1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6"/>
      <c r="I216" s="8"/>
      <c r="J216" s="3"/>
      <c r="K216" s="9"/>
      <c r="L216" s="9"/>
      <c r="M216" s="12"/>
      <c r="N216" s="1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6"/>
      <c r="I217" s="8"/>
      <c r="J217" s="3"/>
      <c r="K217" s="9"/>
      <c r="L217" s="9"/>
      <c r="M217" s="12"/>
      <c r="N217" s="1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6"/>
      <c r="I218" s="8"/>
      <c r="J218" s="3"/>
      <c r="K218" s="9"/>
      <c r="L218" s="9"/>
      <c r="M218" s="12"/>
      <c r="N218" s="1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6"/>
      <c r="I219" s="8"/>
      <c r="J219" s="3"/>
      <c r="K219" s="9"/>
      <c r="L219" s="9"/>
      <c r="M219" s="12"/>
      <c r="N219" s="1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6"/>
      <c r="I220" s="8"/>
      <c r="J220" s="3"/>
      <c r="K220" s="9"/>
      <c r="L220" s="9"/>
      <c r="M220" s="12"/>
      <c r="N220" s="1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6:J6"/>
    <mergeCell ref="K6:N6"/>
    <mergeCell ref="B2:N3"/>
    <mergeCell ref="B5:D5"/>
    <mergeCell ref="E5:F5"/>
    <mergeCell ref="I5:J5"/>
    <mergeCell ref="K5:N5"/>
    <mergeCell ref="B6:D6"/>
    <mergeCell ref="E6:F6"/>
    <mergeCell ref="B17:E17"/>
  </mergeCells>
  <dataValidations>
    <dataValidation type="list" allowBlank="1" showErrorMessage="1" sqref="F9:F16">
      <formula1>$R$3:$R$5</formula1>
    </dataValidation>
    <dataValidation type="list" allowBlank="1" showErrorMessage="1" sqref="M9:M16">
      <formula1>$Q$3:$Q$6</formula1>
    </dataValidation>
    <dataValidation type="list" allowBlank="1" showErrorMessage="1" sqref="G9:G16">
      <formula1>$P$3:$P$6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7.86"/>
    <col customWidth="1" min="7" max="7" width="28.14"/>
    <col customWidth="1" min="8" max="8" width="33.43"/>
    <col customWidth="1" min="9" max="9" width="37.57"/>
    <col customWidth="1" min="10" max="10" width="23.14"/>
    <col customWidth="1" min="11" max="11" width="29.57"/>
    <col customWidth="1" min="12" max="12" width="30.57"/>
    <col customWidth="1" min="13" max="14" width="18.86"/>
    <col customWidth="1" min="15" max="15" width="9.14"/>
    <col customWidth="1" min="16" max="16" width="12.43"/>
    <col customWidth="1" min="17" max="26" width="9.14"/>
  </cols>
  <sheetData>
    <row r="1">
      <c r="A1" s="2"/>
      <c r="B1" s="4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0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"/>
      <c r="B2" s="16"/>
      <c r="N2" s="18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"/>
      <c r="B3" s="16"/>
      <c r="N3" s="1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"/>
      <c r="B4" s="16"/>
      <c r="N4" s="1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"/>
      <c r="B5" s="16"/>
      <c r="N5" s="1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"/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1"/>
      <c r="O6" s="13"/>
      <c r="P6" s="3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"/>
      <c r="B7" s="38"/>
      <c r="C7" s="39"/>
      <c r="D7" s="39"/>
      <c r="E7" s="39"/>
      <c r="F7" s="39"/>
      <c r="G7" s="39"/>
      <c r="H7" s="45"/>
      <c r="I7" s="39"/>
      <c r="J7" s="39"/>
      <c r="K7" s="38"/>
      <c r="L7" s="38"/>
      <c r="M7" s="13"/>
      <c r="N7" s="13"/>
      <c r="O7" s="13"/>
      <c r="P7" s="3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9"/>
      <c r="B8" s="53" t="s">
        <v>13</v>
      </c>
      <c r="C8" s="53" t="s">
        <v>16</v>
      </c>
      <c r="D8" s="53" t="s">
        <v>17</v>
      </c>
      <c r="E8" s="53" t="s">
        <v>18</v>
      </c>
      <c r="F8" s="53" t="s">
        <v>19</v>
      </c>
      <c r="G8" s="53" t="s">
        <v>20</v>
      </c>
      <c r="H8" s="53" t="s">
        <v>21</v>
      </c>
      <c r="I8" s="53" t="s">
        <v>22</v>
      </c>
      <c r="J8" s="53" t="s">
        <v>23</v>
      </c>
      <c r="K8" s="53" t="s">
        <v>24</v>
      </c>
      <c r="L8" s="53" t="s">
        <v>25</v>
      </c>
      <c r="M8" s="53" t="s">
        <v>27</v>
      </c>
      <c r="N8" s="53" t="s">
        <v>28</v>
      </c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2"/>
      <c r="B9" s="64"/>
      <c r="C9" s="52"/>
      <c r="D9" s="52"/>
      <c r="E9" s="52"/>
      <c r="F9" s="65"/>
      <c r="G9" s="67"/>
      <c r="H9" s="67"/>
      <c r="I9" s="67"/>
      <c r="J9" s="67"/>
      <c r="K9" s="67"/>
      <c r="L9" s="67"/>
      <c r="M9" s="67"/>
      <c r="N9" s="70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6.75" customHeight="1">
      <c r="A10" s="2"/>
      <c r="B10" s="72" t="s">
        <v>11</v>
      </c>
      <c r="C10" s="72" t="s">
        <v>38</v>
      </c>
      <c r="D10" s="75">
        <v>14.0</v>
      </c>
      <c r="E10" s="76" t="s">
        <v>42</v>
      </c>
      <c r="F10" s="72" t="s">
        <v>43</v>
      </c>
      <c r="G10" s="79" t="s">
        <v>45</v>
      </c>
      <c r="H10" s="72" t="s">
        <v>46</v>
      </c>
      <c r="I10" s="72" t="s">
        <v>47</v>
      </c>
      <c r="J10" s="86" t="s">
        <v>50</v>
      </c>
      <c r="K10" s="88">
        <v>45649.0</v>
      </c>
      <c r="L10" s="75" t="s">
        <v>52</v>
      </c>
      <c r="M10" s="75" t="s">
        <v>54</v>
      </c>
      <c r="N10" s="9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6.75" customHeight="1">
      <c r="A11" s="2"/>
      <c r="B11" s="72" t="s">
        <v>11</v>
      </c>
      <c r="C11" s="72" t="s">
        <v>38</v>
      </c>
      <c r="D11" s="75">
        <v>14.0</v>
      </c>
      <c r="E11" s="76" t="s">
        <v>58</v>
      </c>
      <c r="F11" s="72" t="s">
        <v>60</v>
      </c>
      <c r="G11" s="79" t="s">
        <v>45</v>
      </c>
      <c r="H11" s="72" t="s">
        <v>46</v>
      </c>
      <c r="I11" s="72" t="s">
        <v>47</v>
      </c>
      <c r="J11" s="86" t="s">
        <v>50</v>
      </c>
      <c r="K11" s="88">
        <v>45649.0</v>
      </c>
      <c r="L11" s="75" t="s">
        <v>52</v>
      </c>
      <c r="M11" s="75" t="s">
        <v>54</v>
      </c>
      <c r="N11" s="9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34.5" customHeight="1">
      <c r="A12" s="2"/>
      <c r="B12" s="72" t="s">
        <v>62</v>
      </c>
      <c r="C12" s="72" t="s">
        <v>38</v>
      </c>
      <c r="D12" s="75">
        <v>14.0</v>
      </c>
      <c r="E12" s="76" t="s">
        <v>63</v>
      </c>
      <c r="F12" s="72" t="s">
        <v>64</v>
      </c>
      <c r="G12" s="79" t="s">
        <v>45</v>
      </c>
      <c r="H12" s="72" t="s">
        <v>65</v>
      </c>
      <c r="I12" s="72" t="s">
        <v>47</v>
      </c>
      <c r="J12" s="86" t="s">
        <v>50</v>
      </c>
      <c r="K12" s="88">
        <v>45649.0</v>
      </c>
      <c r="L12" s="75" t="s">
        <v>52</v>
      </c>
      <c r="M12" s="75" t="s">
        <v>54</v>
      </c>
      <c r="N12" s="9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34.5" customHeight="1">
      <c r="A13" s="2"/>
      <c r="B13" s="72" t="s">
        <v>62</v>
      </c>
      <c r="C13" s="72" t="s">
        <v>38</v>
      </c>
      <c r="D13" s="75">
        <v>14.0</v>
      </c>
      <c r="E13" s="76" t="s">
        <v>67</v>
      </c>
      <c r="F13" s="72" t="s">
        <v>68</v>
      </c>
      <c r="G13" s="79" t="s">
        <v>45</v>
      </c>
      <c r="H13" s="72" t="s">
        <v>70</v>
      </c>
      <c r="I13" s="72" t="s">
        <v>47</v>
      </c>
      <c r="J13" s="86" t="s">
        <v>50</v>
      </c>
      <c r="K13" s="88">
        <v>45649.0</v>
      </c>
      <c r="L13" s="75" t="s">
        <v>52</v>
      </c>
      <c r="M13" s="75" t="s">
        <v>54</v>
      </c>
      <c r="N13" s="9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34.5" customHeight="1">
      <c r="A14" s="2"/>
      <c r="B14" s="72" t="s">
        <v>11</v>
      </c>
      <c r="C14" s="72" t="s">
        <v>38</v>
      </c>
      <c r="D14" s="75">
        <v>14.0</v>
      </c>
      <c r="E14" s="76" t="s">
        <v>76</v>
      </c>
      <c r="F14" s="102" t="s">
        <v>77</v>
      </c>
      <c r="G14" s="79" t="s">
        <v>45</v>
      </c>
      <c r="H14" s="102" t="s">
        <v>78</v>
      </c>
      <c r="I14" s="102" t="s">
        <v>79</v>
      </c>
      <c r="J14" s="86" t="s">
        <v>50</v>
      </c>
      <c r="K14" s="88">
        <v>45649.0</v>
      </c>
      <c r="L14" s="75" t="s">
        <v>52</v>
      </c>
      <c r="M14" s="75" t="s">
        <v>54</v>
      </c>
      <c r="N14" s="9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10.75" customHeight="1">
      <c r="A15" s="2"/>
      <c r="B15" s="72" t="s">
        <v>11</v>
      </c>
      <c r="C15" s="72" t="s">
        <v>38</v>
      </c>
      <c r="D15" s="75">
        <v>14.0</v>
      </c>
      <c r="E15" s="76" t="s">
        <v>80</v>
      </c>
      <c r="F15" s="72" t="s">
        <v>81</v>
      </c>
      <c r="G15" s="79" t="s">
        <v>45</v>
      </c>
      <c r="H15" s="102" t="s">
        <v>78</v>
      </c>
      <c r="I15" s="102" t="s">
        <v>47</v>
      </c>
      <c r="J15" s="86" t="s">
        <v>50</v>
      </c>
      <c r="K15" s="88">
        <v>45649.0</v>
      </c>
      <c r="L15" s="75" t="s">
        <v>52</v>
      </c>
      <c r="M15" s="75" t="s">
        <v>54</v>
      </c>
      <c r="N15" s="9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10.75" customHeight="1">
      <c r="A16" s="2"/>
      <c r="B16" s="72" t="s">
        <v>62</v>
      </c>
      <c r="C16" s="72" t="s">
        <v>38</v>
      </c>
      <c r="D16" s="75">
        <v>14.0</v>
      </c>
      <c r="E16" s="76" t="s">
        <v>82</v>
      </c>
      <c r="F16" s="72" t="s">
        <v>83</v>
      </c>
      <c r="G16" s="79" t="s">
        <v>45</v>
      </c>
      <c r="H16" s="72" t="s">
        <v>84</v>
      </c>
      <c r="I16" s="72" t="s">
        <v>47</v>
      </c>
      <c r="J16" s="86" t="s">
        <v>50</v>
      </c>
      <c r="K16" s="88">
        <v>45649.0</v>
      </c>
      <c r="L16" s="75" t="s">
        <v>52</v>
      </c>
      <c r="M16" s="75" t="s">
        <v>54</v>
      </c>
      <c r="N16" s="9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10.75" customHeight="1">
      <c r="A17" s="2"/>
      <c r="B17" s="72" t="s">
        <v>62</v>
      </c>
      <c r="C17" s="72" t="s">
        <v>38</v>
      </c>
      <c r="D17" s="75">
        <v>14.0</v>
      </c>
      <c r="E17" s="76" t="s">
        <v>87</v>
      </c>
      <c r="F17" s="109" t="s">
        <v>88</v>
      </c>
      <c r="G17" s="79" t="s">
        <v>45</v>
      </c>
      <c r="H17" s="72" t="s">
        <v>89</v>
      </c>
      <c r="I17" s="72" t="s">
        <v>47</v>
      </c>
      <c r="J17" s="86" t="s">
        <v>50</v>
      </c>
      <c r="K17" s="88">
        <v>45649.0</v>
      </c>
      <c r="L17" s="75" t="s">
        <v>52</v>
      </c>
      <c r="M17" s="75" t="s">
        <v>54</v>
      </c>
      <c r="N17" s="9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10.75" customHeight="1">
      <c r="A18" s="2"/>
      <c r="B18" s="72" t="s">
        <v>62</v>
      </c>
      <c r="C18" s="72" t="s">
        <v>38</v>
      </c>
      <c r="D18" s="75">
        <v>14.0</v>
      </c>
      <c r="E18" s="113" t="s">
        <v>90</v>
      </c>
      <c r="F18" s="72" t="s">
        <v>91</v>
      </c>
      <c r="G18" s="79" t="s">
        <v>45</v>
      </c>
      <c r="H18" s="109" t="s">
        <v>92</v>
      </c>
      <c r="I18" s="72" t="s">
        <v>47</v>
      </c>
      <c r="J18" s="86" t="s">
        <v>50</v>
      </c>
      <c r="K18" s="88">
        <v>45649.0</v>
      </c>
      <c r="L18" s="75" t="s">
        <v>52</v>
      </c>
      <c r="M18" s="75" t="s">
        <v>54</v>
      </c>
      <c r="N18" s="9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10.75" customHeight="1">
      <c r="A19" s="2"/>
      <c r="B19" s="72" t="s">
        <v>62</v>
      </c>
      <c r="C19" s="72" t="s">
        <v>93</v>
      </c>
      <c r="D19" s="75">
        <v>16.0</v>
      </c>
      <c r="E19" s="113" t="s">
        <v>94</v>
      </c>
      <c r="F19" s="109" t="s">
        <v>95</v>
      </c>
      <c r="G19" s="79" t="s">
        <v>45</v>
      </c>
      <c r="H19" s="117" t="s">
        <v>96</v>
      </c>
      <c r="I19" s="72" t="s">
        <v>47</v>
      </c>
      <c r="J19" s="86" t="s">
        <v>50</v>
      </c>
      <c r="K19" s="88">
        <v>45649.0</v>
      </c>
      <c r="L19" s="75" t="s">
        <v>52</v>
      </c>
      <c r="M19" s="75" t="s">
        <v>54</v>
      </c>
      <c r="N19" s="9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10.75" customHeight="1">
      <c r="A20" s="2"/>
      <c r="B20" s="72" t="s">
        <v>98</v>
      </c>
      <c r="C20" s="72" t="s">
        <v>99</v>
      </c>
      <c r="D20" s="75">
        <v>18.0</v>
      </c>
      <c r="E20" s="113" t="s">
        <v>100</v>
      </c>
      <c r="F20" s="72" t="s">
        <v>101</v>
      </c>
      <c r="G20" s="79" t="s">
        <v>45</v>
      </c>
      <c r="H20" s="72" t="s">
        <v>102</v>
      </c>
      <c r="I20" s="72" t="s">
        <v>47</v>
      </c>
      <c r="J20" s="86" t="s">
        <v>50</v>
      </c>
      <c r="K20" s="88">
        <v>45649.0</v>
      </c>
      <c r="L20" s="75" t="s">
        <v>52</v>
      </c>
      <c r="M20" s="75" t="s">
        <v>54</v>
      </c>
      <c r="N20" s="9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10.75" customHeight="1">
      <c r="A21" s="2"/>
      <c r="B21" s="72" t="s">
        <v>98</v>
      </c>
      <c r="C21" s="72" t="s">
        <v>99</v>
      </c>
      <c r="D21" s="75">
        <v>18.0</v>
      </c>
      <c r="E21" s="113" t="s">
        <v>103</v>
      </c>
      <c r="F21" s="72" t="s">
        <v>105</v>
      </c>
      <c r="G21" s="79" t="s">
        <v>45</v>
      </c>
      <c r="H21" s="72" t="s">
        <v>106</v>
      </c>
      <c r="I21" s="72" t="s">
        <v>47</v>
      </c>
      <c r="J21" s="86" t="s">
        <v>50</v>
      </c>
      <c r="K21" s="88">
        <v>45649.0</v>
      </c>
      <c r="L21" s="75" t="s">
        <v>52</v>
      </c>
      <c r="M21" s="75" t="s">
        <v>54</v>
      </c>
      <c r="N21" s="9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10.75" customHeight="1">
      <c r="A22" s="2"/>
      <c r="B22" s="72" t="s">
        <v>98</v>
      </c>
      <c r="C22" s="72" t="s">
        <v>99</v>
      </c>
      <c r="D22" s="75">
        <v>19.0</v>
      </c>
      <c r="E22" s="122" t="s">
        <v>108</v>
      </c>
      <c r="F22" s="124" t="s">
        <v>109</v>
      </c>
      <c r="G22" s="120" t="s">
        <v>45</v>
      </c>
      <c r="H22" s="126" t="s">
        <v>111</v>
      </c>
      <c r="I22" s="72" t="s">
        <v>47</v>
      </c>
      <c r="J22" s="86" t="s">
        <v>50</v>
      </c>
      <c r="K22" s="88">
        <v>45649.0</v>
      </c>
      <c r="L22" s="75" t="s">
        <v>52</v>
      </c>
      <c r="M22" s="75" t="s">
        <v>54</v>
      </c>
      <c r="N22" s="9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10.75" customHeight="1">
      <c r="A23" s="2"/>
      <c r="B23" s="72" t="s">
        <v>98</v>
      </c>
      <c r="C23" s="72" t="s">
        <v>99</v>
      </c>
      <c r="D23" s="75">
        <v>20.0</v>
      </c>
      <c r="E23" s="129" t="s">
        <v>112</v>
      </c>
      <c r="F23" s="72" t="s">
        <v>113</v>
      </c>
      <c r="G23" s="79" t="s">
        <v>45</v>
      </c>
      <c r="H23" s="72" t="s">
        <v>111</v>
      </c>
      <c r="I23" s="72" t="s">
        <v>47</v>
      </c>
      <c r="J23" s="86" t="s">
        <v>50</v>
      </c>
      <c r="K23" s="88">
        <v>45649.0</v>
      </c>
      <c r="L23" s="75" t="s">
        <v>52</v>
      </c>
      <c r="M23" s="75" t="s">
        <v>54</v>
      </c>
      <c r="N23" s="9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6"/>
    <mergeCell ref="B9:F9"/>
  </mergeCells>
  <dataValidations>
    <dataValidation type="list" allowBlank="1" showErrorMessage="1" sqref="J10:J23">
      <formula1>"Berhasil,Gagal,Siap dites,Tidak dites,Belum dites,Butuh konfirmasi"</formula1>
    </dataValidation>
    <dataValidation type="list" allowBlank="1" showErrorMessage="1" sqref="M10:M23">
      <formula1>"Script Plan,Script Tambahan"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0.57"/>
    <col customWidth="1" min="7" max="7" width="33.43"/>
    <col customWidth="1" min="8" max="8" width="37.57"/>
    <col customWidth="1" min="9" max="9" width="23.14"/>
    <col customWidth="1" min="10" max="10" width="29.57"/>
    <col customWidth="1" min="11" max="12" width="18.86"/>
    <col customWidth="1" min="13" max="13" width="9.14"/>
    <col customWidth="1" min="14" max="14" width="12.43"/>
    <col customWidth="1" min="15" max="26" width="9.14"/>
  </cols>
  <sheetData>
    <row r="1" ht="28.5" customHeight="1">
      <c r="A1" s="2"/>
      <c r="B1" s="215" t="s">
        <v>300</v>
      </c>
      <c r="C1" s="7"/>
      <c r="D1" s="7"/>
      <c r="E1" s="7"/>
      <c r="F1" s="7"/>
      <c r="G1" s="7"/>
      <c r="H1" s="7"/>
      <c r="I1" s="7"/>
      <c r="J1" s="7"/>
      <c r="K1" s="7"/>
      <c r="L1" s="10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"/>
      <c r="B2" s="16"/>
      <c r="L2" s="18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"/>
      <c r="B3" s="16"/>
      <c r="L3" s="1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"/>
      <c r="B4" s="16"/>
      <c r="L4" s="1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"/>
      <c r="B5" s="16"/>
      <c r="L5" s="1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"/>
      <c r="B6" s="27"/>
      <c r="C6" s="29"/>
      <c r="D6" s="29"/>
      <c r="E6" s="29"/>
      <c r="F6" s="29"/>
      <c r="G6" s="29"/>
      <c r="H6" s="29"/>
      <c r="I6" s="29"/>
      <c r="J6" s="29"/>
      <c r="K6" s="29"/>
      <c r="L6" s="31"/>
      <c r="M6" s="13"/>
      <c r="N6" s="3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"/>
      <c r="B7" s="38"/>
      <c r="C7" s="39"/>
      <c r="D7" s="39"/>
      <c r="E7" s="39"/>
      <c r="F7" s="39"/>
      <c r="G7" s="45"/>
      <c r="H7" s="39"/>
      <c r="I7" s="39"/>
      <c r="J7" s="38"/>
      <c r="K7" s="13"/>
      <c r="L7" s="13"/>
      <c r="M7" s="13"/>
      <c r="N7" s="3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9"/>
      <c r="B8" s="53" t="s">
        <v>13</v>
      </c>
      <c r="C8" s="53" t="s">
        <v>16</v>
      </c>
      <c r="D8" s="53" t="s">
        <v>17</v>
      </c>
      <c r="E8" s="53" t="s">
        <v>18</v>
      </c>
      <c r="F8" s="53" t="s">
        <v>19</v>
      </c>
      <c r="G8" s="53" t="s">
        <v>21</v>
      </c>
      <c r="H8" s="53" t="s">
        <v>22</v>
      </c>
      <c r="I8" s="220" t="s">
        <v>307</v>
      </c>
      <c r="J8" s="53" t="s">
        <v>24</v>
      </c>
      <c r="K8" s="53" t="s">
        <v>27</v>
      </c>
      <c r="L8" s="53" t="s">
        <v>25</v>
      </c>
      <c r="M8" s="57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33.0" customHeight="1">
      <c r="A9" s="2"/>
      <c r="B9" s="221"/>
      <c r="C9" s="52"/>
      <c r="D9" s="52"/>
      <c r="E9" s="52"/>
      <c r="F9" s="65"/>
      <c r="G9" s="222"/>
      <c r="H9" s="222"/>
      <c r="I9" s="222"/>
      <c r="J9" s="222"/>
      <c r="K9" s="222"/>
      <c r="L9" s="22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6.25" customHeight="1">
      <c r="A10" s="2"/>
      <c r="B10" s="224"/>
      <c r="C10" s="225"/>
      <c r="D10" s="226"/>
      <c r="E10" s="227"/>
      <c r="F10" s="224"/>
      <c r="G10" s="224"/>
      <c r="H10" s="79"/>
      <c r="I10" s="86"/>
      <c r="J10" s="228"/>
      <c r="K10" s="229"/>
      <c r="L10" s="23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6.25" customHeight="1">
      <c r="A11" s="2"/>
      <c r="B11" s="224"/>
      <c r="C11" s="225"/>
      <c r="D11" s="226"/>
      <c r="E11" s="227"/>
      <c r="F11" s="224"/>
      <c r="G11" s="224"/>
      <c r="H11" s="79"/>
      <c r="I11" s="86"/>
      <c r="J11" s="228"/>
      <c r="K11" s="229"/>
      <c r="L11" s="230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6.25" customHeight="1">
      <c r="A12" s="2"/>
      <c r="B12" s="224"/>
      <c r="C12" s="225"/>
      <c r="D12" s="226"/>
      <c r="E12" s="227"/>
      <c r="F12" s="224"/>
      <c r="G12" s="224"/>
      <c r="H12" s="79"/>
      <c r="I12" s="86"/>
      <c r="J12" s="228"/>
      <c r="K12" s="229"/>
      <c r="L12" s="23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6.25" customHeight="1">
      <c r="A13" s="2"/>
      <c r="B13" s="224"/>
      <c r="C13" s="225"/>
      <c r="D13" s="226"/>
      <c r="E13" s="227"/>
      <c r="F13" s="224"/>
      <c r="G13" s="224"/>
      <c r="H13" s="79"/>
      <c r="I13" s="86"/>
      <c r="J13" s="228"/>
      <c r="K13" s="229"/>
      <c r="L13" s="23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6.25" customHeight="1">
      <c r="A14" s="2"/>
      <c r="B14" s="224"/>
      <c r="C14" s="225"/>
      <c r="D14" s="226"/>
      <c r="E14" s="227"/>
      <c r="F14" s="224"/>
      <c r="G14" s="224"/>
      <c r="H14" s="79"/>
      <c r="I14" s="86"/>
      <c r="J14" s="228"/>
      <c r="K14" s="229"/>
      <c r="L14" s="23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6.25" customHeight="1">
      <c r="A15" s="2"/>
      <c r="B15" s="224"/>
      <c r="C15" s="225"/>
      <c r="D15" s="226"/>
      <c r="E15" s="227"/>
      <c r="F15" s="224"/>
      <c r="G15" s="224"/>
      <c r="H15" s="79"/>
      <c r="I15" s="86"/>
      <c r="J15" s="228"/>
      <c r="K15" s="229"/>
      <c r="L15" s="23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6.25" customHeight="1">
      <c r="A16" s="2"/>
      <c r="B16" s="224"/>
      <c r="C16" s="225"/>
      <c r="D16" s="226"/>
      <c r="E16" s="227"/>
      <c r="F16" s="224"/>
      <c r="G16" s="224"/>
      <c r="H16" s="79"/>
      <c r="I16" s="86"/>
      <c r="J16" s="228"/>
      <c r="K16" s="229"/>
      <c r="L16" s="230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6.25" customHeight="1">
      <c r="A17" s="2"/>
      <c r="B17" s="224"/>
      <c r="C17" s="225"/>
      <c r="D17" s="226"/>
      <c r="E17" s="227"/>
      <c r="F17" s="224"/>
      <c r="G17" s="224"/>
      <c r="H17" s="79"/>
      <c r="I17" s="86"/>
      <c r="J17" s="228"/>
      <c r="K17" s="229"/>
      <c r="L17" s="23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6.25" customHeight="1">
      <c r="A18" s="2"/>
      <c r="B18" s="224"/>
      <c r="C18" s="225"/>
      <c r="D18" s="226"/>
      <c r="E18" s="227"/>
      <c r="F18" s="224"/>
      <c r="G18" s="224"/>
      <c r="H18" s="79"/>
      <c r="I18" s="86"/>
      <c r="J18" s="228"/>
      <c r="K18" s="229"/>
      <c r="L18" s="230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6.25" customHeight="1">
      <c r="A19" s="2"/>
      <c r="B19" s="224"/>
      <c r="C19" s="225"/>
      <c r="D19" s="226"/>
      <c r="E19" s="227"/>
      <c r="F19" s="224"/>
      <c r="G19" s="224"/>
      <c r="H19" s="79"/>
      <c r="I19" s="86"/>
      <c r="J19" s="228"/>
      <c r="K19" s="229"/>
      <c r="L19" s="230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L6"/>
    <mergeCell ref="B9:F9"/>
  </mergeCells>
  <dataValidations>
    <dataValidation type="list" allowBlank="1" showErrorMessage="1" sqref="I10:I19">
      <formula1>"Berhasil,Gagal,Siap dites,Tidak dites,Belum dites,Butuh konfirmasi"</formula1>
    </dataValidation>
    <dataValidation type="list" allowBlank="1" showErrorMessage="1" sqref="B10:B19">
      <formula1>$O$1:$O$4</formula1>
    </dataValidation>
    <dataValidation type="list" allowBlank="1" showErrorMessage="1" sqref="K10:K19">
      <formula1>"Script Plan,Script Tambahan"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4.71"/>
    <col customWidth="1" min="3" max="3" width="21.57"/>
    <col customWidth="1" min="4" max="5" width="23.57"/>
    <col customWidth="1" min="6" max="7" width="22.57"/>
    <col customWidth="1" min="8" max="8" width="35.71"/>
  </cols>
  <sheetData>
    <row r="2" ht="19.5" customHeight="1">
      <c r="B2" s="216" t="s">
        <v>301</v>
      </c>
      <c r="C2" s="216" t="s">
        <v>302</v>
      </c>
      <c r="D2" s="216" t="s">
        <v>303</v>
      </c>
      <c r="E2" s="216" t="s">
        <v>304</v>
      </c>
      <c r="F2" s="216" t="s">
        <v>305</v>
      </c>
      <c r="G2" s="216" t="s">
        <v>18</v>
      </c>
      <c r="H2" s="216" t="s">
        <v>306</v>
      </c>
    </row>
    <row r="3">
      <c r="B3" s="217"/>
      <c r="C3" s="218"/>
      <c r="D3" s="219"/>
      <c r="E3" s="219"/>
      <c r="F3" s="219"/>
      <c r="G3" s="219"/>
      <c r="H3" s="219"/>
    </row>
    <row r="4">
      <c r="B4" s="132"/>
      <c r="C4" s="132"/>
      <c r="D4" s="219"/>
      <c r="E4" s="219"/>
      <c r="F4" s="219"/>
      <c r="G4" s="219"/>
      <c r="H4" s="219"/>
    </row>
    <row r="5">
      <c r="B5" s="132"/>
      <c r="C5" s="132"/>
      <c r="D5" s="219"/>
      <c r="E5" s="219"/>
      <c r="F5" s="219"/>
      <c r="G5" s="219"/>
      <c r="H5" s="219"/>
    </row>
    <row r="6">
      <c r="B6" s="36"/>
      <c r="C6" s="36"/>
      <c r="D6" s="219"/>
      <c r="E6" s="219"/>
      <c r="F6" s="219"/>
      <c r="G6" s="219"/>
      <c r="H6" s="2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B6"/>
    <mergeCell ref="C3:C6"/>
  </mergeCells>
  <printOptions/>
  <pageMargins bottom="0.75" footer="0.0" header="0.0" left="0.7" right="0.7" top="0.75"/>
  <pageSetup orientation="landscape"/>
  <drawing r:id="rId1"/>
</worksheet>
</file>