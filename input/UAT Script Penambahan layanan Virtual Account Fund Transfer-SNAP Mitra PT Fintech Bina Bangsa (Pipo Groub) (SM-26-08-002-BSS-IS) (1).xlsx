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 Script" sheetId="1" r:id="rId4"/>
    <sheet state="visible" name="UAT Progress" sheetId="2" r:id="rId5"/>
    <sheet state="visible" name="UAT Error Log" sheetId="3" r:id="rId6"/>
    <sheet state="hidden" name="Butuh Konfirmasi" sheetId="4" r:id="rId7"/>
    <sheet state="visible" name="UAT Issue" sheetId="5" r:id="rId8"/>
    <sheet state="visible" name="UAT Attendance" sheetId="6" r:id="rId9"/>
  </sheets>
  <definedNames/>
  <calcPr/>
  <extLst>
    <ext uri="GoogleSheetsCustomDataVersion2">
      <go:sheetsCustomData xmlns:go="http://customooxmlschemas.google.com/" r:id="rId10" roundtripDataChecksum="sj9lemdpY7vVYBQmHr9G3pyP+XfEfF+EXAmqMwXyzH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7">
      <text>
        <t xml:space="preserve">======
ID#AAACGHpOd-k
Annisya Aisiyah    (2025-07-25 02:47:20)
BSS YANG HIT</t>
      </text>
    </comment>
  </commentList>
  <extLst>
    <ext uri="GoogleSheetsCustomDataVersion2">
      <go:sheetsCustomData xmlns:go="http://customooxmlschemas.google.com/" r:id="rId1" roundtripDataSignature="AMtx7mjhthad0jrKoZlpSRIXZGXeqAR7m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ID#AAACGHpOd-o
Pilihan drop down list     (2026-08-27 02:40:45)
Input Data
Cek Data
Cek Laporan
Cek Jurnal
COB
Reverse Data</t>
      </text>
    </comment>
  </commentList>
  <extLst>
    <ext uri="GoogleSheetsCustomDataVersion2">
      <go:sheetsCustomData xmlns:go="http://customooxmlschemas.google.com/" r:id="rId1" roundtripDataSignature="AMtx7midzaKU+bVWsWvSjgpHZf1RZXOZxA=="/>
    </ext>
  </extLst>
</comments>
</file>

<file path=xl/sharedStrings.xml><?xml version="1.0" encoding="utf-8"?>
<sst xmlns="http://schemas.openxmlformats.org/spreadsheetml/2006/main" count="1413" uniqueCount="487">
  <si>
    <r>
      <rPr>
        <rFont val="Calibri"/>
        <b/>
        <i/>
        <color theme="1"/>
        <sz val="20.0"/>
      </rPr>
      <t xml:space="preserve">User Acceptance Test Issue
</t>
    </r>
    <r>
      <rPr>
        <rFont val="Calibri"/>
        <b/>
        <i val="0"/>
        <color theme="1"/>
        <sz val="20.0"/>
      </rPr>
      <t>UAT Enhancement TPMS Notaris</t>
    </r>
  </si>
  <si>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Virtual Account &amp; Fund Transfer Host to Host PT Fintech Bina Bangsa (Pipo Grup) (FT)&gt;</t>
    </r>
  </si>
  <si>
    <t xml:space="preserve">UAT Error Log for Penambahan Layanan Virtual Account &amp; Fund Transfer Host to Host PT Integrasi Sinaptiq (Veloka/2C2P) (VA) </t>
  </si>
  <si>
    <t>Progress UAT Penambahan Layanan Virtual Account &amp; Fund Transfer Host to Host PT Integrasi Sinaptiq (Veloka/2C2P) (VA)</t>
  </si>
  <si>
    <t>Low</t>
  </si>
  <si>
    <t>Open</t>
  </si>
  <si>
    <t>System</t>
  </si>
  <si>
    <t>Status Tes Script</t>
  </si>
  <si>
    <t>Nama Proyek/Aplikasi</t>
  </si>
  <si>
    <t>Jumlah</t>
  </si>
  <si>
    <t>Percentage</t>
  </si>
  <si>
    <t xml:space="preserve">Penambahan Layanan Virtual Account &amp; Fund Transfer Host to Host PT Integrasi Sinaptiq (Veloka/2C2P) (VA) </t>
  </si>
  <si>
    <t>Kategori</t>
  </si>
  <si>
    <t>Nama Modul</t>
  </si>
  <si>
    <t>Nomor Skenario</t>
  </si>
  <si>
    <t>Nomor Kasus Tes</t>
  </si>
  <si>
    <t>Langkah Tes</t>
  </si>
  <si>
    <t>Data yang Digunakan</t>
  </si>
  <si>
    <t>Hasil yang Diharapkan</t>
  </si>
  <si>
    <t>Hasil Aktual</t>
  </si>
  <si>
    <t>Status</t>
  </si>
  <si>
    <t>Tanggal Pelaksanaan</t>
  </si>
  <si>
    <t>Pelaksana</t>
  </si>
  <si>
    <t>Jenis script</t>
  </si>
  <si>
    <t>Ket</t>
  </si>
  <si>
    <t>Lama Tes (dalam hari)</t>
  </si>
  <si>
    <t>Berhasil</t>
  </si>
  <si>
    <t>Medium</t>
  </si>
  <si>
    <t>Closed</t>
  </si>
  <si>
    <t>Data</t>
  </si>
  <si>
    <t>Tanggal Mulai Tes</t>
  </si>
  <si>
    <t>Cek Data</t>
  </si>
  <si>
    <t>Nomor Referensi</t>
  </si>
  <si>
    <t>SM-26-08-002-BSS-IS</t>
  </si>
  <si>
    <t>Tanggal Selesai Tes</t>
  </si>
  <si>
    <t>Dibuat oleh</t>
  </si>
  <si>
    <t>Nur Cahya Widianto</t>
  </si>
  <si>
    <t>Tanda Tangan</t>
  </si>
  <si>
    <t>High</t>
  </si>
  <si>
    <t>Ready to test</t>
  </si>
  <si>
    <t>Payment</t>
  </si>
  <si>
    <t>Diperiksa dan Disetujui oleh</t>
  </si>
  <si>
    <t>Wibiyanto Cahyadi</t>
  </si>
  <si>
    <t>14,2</t>
  </si>
  <si>
    <r>
      <rPr>
        <rFont val="Arial"/>
        <b/>
        <color theme="1"/>
        <sz val="12.0"/>
      </rPr>
      <t xml:space="preserve">Payment &gt; Edit 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</si>
  <si>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Gagal</t>
  </si>
  <si>
    <t>UAT</t>
  </si>
  <si>
    <t>No.</t>
  </si>
  <si>
    <t>Data berhasil ditampilkan</t>
  </si>
  <si>
    <t>Butuh konfirmasi mengenai perubahan perhitungan pada total permbayaran dengan fee bank</t>
  </si>
  <si>
    <t>Simulasi</t>
  </si>
  <si>
    <t>Penjelasan</t>
  </si>
  <si>
    <t>System/ Data</t>
  </si>
  <si>
    <t>Severity</t>
  </si>
  <si>
    <t>Lingkungan Tes</t>
  </si>
  <si>
    <t>Butuh konfirmasi</t>
  </si>
  <si>
    <t>Tanggal Ditemukan</t>
  </si>
  <si>
    <t>Siap dites</t>
  </si>
  <si>
    <t>Aging/Hari</t>
  </si>
  <si>
    <t>Reyhan Dahananto / Mila Sri Hardianti</t>
  </si>
  <si>
    <t>Script Plan</t>
  </si>
  <si>
    <r>
      <rPr>
        <rFont val="Calibri"/>
        <b/>
        <color theme="1"/>
        <sz val="18.0"/>
      </rPr>
      <t xml:space="preserve">Pengembangan dan Pengadaan Teknologi Informasi 
</t>
    </r>
    <r>
      <rPr>
        <rFont val="Calibri"/>
        <b/>
        <i/>
        <color theme="1"/>
        <sz val="18.0"/>
      </rPr>
      <t>User Acceptance Test Script</t>
    </r>
    <r>
      <rPr>
        <rFont val="Calibri"/>
        <b/>
        <color theme="1"/>
        <sz val="18.0"/>
      </rPr>
      <t xml:space="preserve">
</t>
    </r>
    <r>
      <rPr>
        <rFont val="Calibri"/>
        <b/>
        <color rgb="FF00B0F0"/>
        <sz val="18.0"/>
      </rPr>
      <t>&lt;Penambahan Layanan Virtual Account &amp; Fund Transfer Host to Host PT Fintech Bina Bangsa (Pipo Grup) (FT)&gt;</t>
    </r>
  </si>
  <si>
    <t>Ditemukan Oleh</t>
  </si>
  <si>
    <r>
      <rPr>
        <rFont val="Calibri"/>
        <b/>
        <color theme="1"/>
        <sz val="13.0"/>
      </rPr>
      <t xml:space="preserve">Solusi </t>
    </r>
    <r>
      <rPr>
        <rFont val="Calibri"/>
        <b/>
        <i/>
        <color theme="1"/>
        <sz val="13.0"/>
      </rPr>
      <t>Defect</t>
    </r>
  </si>
  <si>
    <t>Target Diperbaiki</t>
  </si>
  <si>
    <t>Tanggal Selesai</t>
  </si>
  <si>
    <t>Irdian Muhammad Haikal</t>
  </si>
  <si>
    <t>14,3</t>
  </si>
  <si>
    <r>
      <rPr>
        <rFont val="Arial"/>
        <b/>
        <color theme="1"/>
        <sz val="12.0"/>
      </rPr>
      <t>Payment &gt; Edit (Save data)</t>
    </r>
    <r>
      <rPr>
        <rFont val="Arial"/>
        <color theme="1"/>
        <sz val="12.0"/>
      </rPr>
      <t xml:space="preserve">
- Klik menu Notaris
- Klik sub-menu Payment
- Pilih Detail Payment
- Pada field nama Notaris, klik field nya untuk menampilkan nama-nama Notaris yang telah tergenerate secara otomatis. 
</t>
    </r>
  </si>
  <si>
    <t>Diperiksa oleh</t>
  </si>
  <si>
    <t>Dodi Selamet Rohadi</t>
  </si>
  <si>
    <t>Disetujui oleh</t>
  </si>
  <si>
    <t>Tidak dites</t>
  </si>
  <si>
    <t>Input Data</t>
  </si>
  <si>
    <t>14,4</t>
  </si>
  <si>
    <r>
      <rPr>
        <rFont val="Arial"/>
        <b/>
        <color theme="1"/>
        <sz val="12.0"/>
      </rPr>
      <t>Payment &gt; Edit  (fee bank dan total biaya otomatis generate)</t>
    </r>
    <r>
      <rPr>
        <rFont val="Arial"/>
        <color theme="1"/>
        <sz val="12.0"/>
      </rPr>
      <t xml:space="preserve">
- Klik menu Notaris
- Klik sub-menu Payment
- Pilih Payment
- Klik tab New
- Klik tombol edit, lalu padaTab Termin, lengkapi field :
   a. Tanggal transfer
   b. Nama Bank
- Klik tombol add, kemudian klik tombol add detail
- Pada termin biaya, tambahkan rincian biaya dan biaya perjasa
</t>
    </r>
    <r>
      <rPr>
        <rFont val="Arial"/>
        <b/>
        <color theme="1"/>
        <sz val="12.0"/>
      </rPr>
      <t>- pilih persentase fee (fee bank dan total biaya otomatis generate)</t>
    </r>
    <r>
      <rPr>
        <rFont val="Arial"/>
        <color theme="1"/>
        <sz val="12.0"/>
      </rPr>
      <t xml:space="preserve">
- Rincian biaya yang sudah tercantum dapat dihapus dengan cara klik tombol remove
- Pada tab document, lakukan upload dokumen sesuai yang tersedia
- Pada tab data cancel, berisikan history cancel.
-Setelah data payment sudah diinput, kemudian klik save dan submit</t>
    </r>
  </si>
  <si>
    <t>Berhasil submit data payment</t>
  </si>
  <si>
    <t>Hanna Hasdiani</t>
  </si>
  <si>
    <t>14,5</t>
  </si>
  <si>
    <r>
      <rPr>
        <rFont val="Arial"/>
        <b/>
        <color theme="1"/>
        <sz val="12.0"/>
      </rPr>
      <t>Melakukan pengecekan Nominal Biaya Perjasa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</si>
  <si>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'Biaya Perjasa' list detail payment </t>
  </si>
  <si>
    <t>14,6</t>
  </si>
  <si>
    <r>
      <rPr>
        <rFont val="Arial"/>
        <b/>
        <color theme="1"/>
        <sz val="12.0"/>
      </rPr>
      <t>List Payment &gt; Menampilkan detail data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</si>
  <si>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Detail data berhasil ditampilkan</t>
  </si>
  <si>
    <t>butuh konfirmasi mengenai Sisa Dana Dalam Tampungan</t>
  </si>
  <si>
    <t>Belum dites</t>
  </si>
  <si>
    <t>14,7</t>
  </si>
  <si>
    <r>
      <rPr>
        <rFont val="Arial"/>
        <b/>
        <color theme="1"/>
        <sz val="12.0"/>
      </rPr>
      <t>List Payment &gt; Menampilkan detail data (Termin)</t>
    </r>
    <r>
      <rPr>
        <rFont val="Arial"/>
        <color theme="1"/>
        <sz val="12.0"/>
      </rPr>
      <t xml:space="preserve">
- Klik menu Notaris
- Klik sub-menu Payment
- Pilih Payment
- Klik tab List Payment
- Klik icon (&gt;) untuk menampilkan detail data</t>
    </r>
  </si>
  <si>
    <t>14,12</t>
  </si>
  <si>
    <r>
      <rPr>
        <rFont val="Arial"/>
        <b/>
        <color theme="1"/>
        <sz val="12.0"/>
      </rPr>
      <t xml:space="preserve">Melakukan pengecekan perubahan nama field </t>
    </r>
    <r>
      <rPr>
        <rFont val="Arial"/>
        <color theme="1"/>
        <sz val="12.0"/>
      </rPr>
      <t xml:space="preserve">
- Klik menu Notaris
- Klik sub-menu Payment
- Pilih Payment
- </t>
    </r>
    <r>
      <rPr>
        <rFont val="Arial"/>
        <b/>
        <color theme="1"/>
        <sz val="12.0"/>
      </rPr>
      <t>Cek perubahan field Biaya Titipan Notaris, Fee Notaris, dan Sisa</t>
    </r>
  </si>
  <si>
    <t>Perubahan field berhasil pada ‘Biaya Notaris’ diubah menjadi ‘Biaya Titipan Notaris’, ‘Titipan Notaris’ diubah menjadi ‘Fee Notaris’, dan ‘Dana Titipan’ diubah menjadi ‘Sisa’.</t>
  </si>
  <si>
    <t>14,13</t>
  </si>
  <si>
    <r>
      <rPr>
        <rFont val="Arial"/>
        <b/>
        <color theme="1"/>
        <sz val="12.0"/>
      </rPr>
      <t>Melakukan pengecekan penambahan field 'Fee Bank'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</si>
  <si>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 xml:space="preserve">Berhasil menampilkan 'Fee bank' list detail payment </t>
  </si>
  <si>
    <t>14,14</t>
  </si>
  <si>
    <r>
      <rPr>
        <rFont val="Arial"/>
        <b/>
        <color theme="1"/>
        <sz val="12.0"/>
      </rPr>
      <t xml:space="preserve"> Melakukan pengecekan perubahan rumusan nominal field 'Total Pembayaran'</t>
    </r>
    <r>
      <rPr>
        <rFont val="Arial"/>
        <color theme="1"/>
        <sz val="12.0"/>
      </rPr>
      <t xml:space="preserve">
- Akses menu Notaris  
- Payment 
- Klik button 'Edit' pada salah satu data
- Klik tab 'Detail Payment'</t>
    </r>
  </si>
  <si>
    <t>Berhasil menampilkan Field ‘Total Pembayaran’ yang rumusan datanya berubah menjadi nominal dari perhitungan Biaya Perjasa + Fee Bank</t>
  </si>
  <si>
    <t>Verifikasi Payment</t>
  </si>
  <si>
    <t>16,6</t>
  </si>
  <si>
    <r>
      <rPr>
        <rFont val="Arial"/>
        <b/>
        <color theme="1"/>
        <sz val="12.0"/>
      </rPr>
      <t xml:space="preserve">Melakukan pengecekan penyesuaian mapping template generate OP
</t>
    </r>
    <r>
      <rPr>
        <rFont val="Arial"/>
        <color theme="1"/>
        <sz val="12.0"/>
      </rPr>
      <t>- Klik menu Notaris
- Klik sub-menu Payment
- Pilih Verifikasi Payment
- Cek dokumen hasil Generate OP yang sudah berhasil di download</t>
    </r>
  </si>
  <si>
    <t>Berhasil menampilkan mapping kolom ‘Kode Cabang’, ‘No. Customer’, ‘Tgl. Settlement’, ‘Nominal’, ‘Sisa Settlement’</t>
  </si>
  <si>
    <t>Hasil yang diharapkan</t>
  </si>
  <si>
    <t>Remarks</t>
  </si>
  <si>
    <t>Total Script</t>
  </si>
  <si>
    <t>cek Data</t>
  </si>
  <si>
    <r>
      <rPr>
        <rFont val="Calibri"/>
        <b/>
        <color theme="1"/>
        <sz val="12.0"/>
      </rPr>
      <t xml:space="preserve">Jenis </t>
    </r>
    <r>
      <rPr>
        <rFont val="Calibri"/>
        <b/>
        <i/>
        <color theme="1"/>
        <sz val="12.0"/>
      </rPr>
      <t>Script</t>
    </r>
  </si>
  <si>
    <t>Track List Payment</t>
  </si>
  <si>
    <t>18,1</t>
  </si>
  <si>
    <r>
      <rPr>
        <rFont val="Arial"/>
        <b/>
        <color theme="1"/>
        <sz val="12.0"/>
      </rPr>
      <t>Track List Payment &gt; Payment detail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</si>
  <si>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</t>
  </si>
  <si>
    <t>Balance Services</t>
  </si>
  <si>
    <t>18,2</t>
  </si>
  <si>
    <r>
      <rPr>
        <rFont val="Arial"/>
        <b/>
        <color theme="1"/>
        <sz val="12.0"/>
      </rPr>
      <t xml:space="preserve">Track List Payment &gt; Termin
</t>
    </r>
    <r>
      <rPr>
        <rFont val="Arial"/>
        <color theme="1"/>
        <sz val="12.0"/>
      </rPr>
      <t xml:space="preserve">
- Klik menu Notaris
- Klik sub-menu Payment
- Pilih Track List Payment
- Cek apakah data payment yang di approve sebelumnya</t>
    </r>
  </si>
  <si>
    <t>Berhasil menampilkan detail termin</t>
  </si>
  <si>
    <t xml:space="preserve"> </t>
  </si>
  <si>
    <t>Total Progress</t>
  </si>
  <si>
    <t>19.2</t>
  </si>
  <si>
    <r>
      <rPr>
        <rFont val="Arial"/>
        <b/>
        <color theme="1"/>
        <sz val="12.0"/>
      </rPr>
      <t xml:space="preserve">Rekap Payment Notaris &gt; Export excel
</t>
    </r>
    <r>
      <rPr>
        <rFont val="Arial"/>
        <b val="0"/>
        <color theme="1"/>
        <sz val="12.0"/>
      </rPr>
      <t>- Klik menu report
- Klik sub menu report Rekap Payment Notaris
- Filter report berdasarkan tanggal/periode
- Pastikan data yang ditampilkan sesuai dengan filter
- Lakukan export report
- Pastikan hasil export sesuai dengan filter (format xls)</t>
    </r>
  </si>
  <si>
    <t>Berhasil export dan field terisi</t>
  </si>
  <si>
    <t>Note : Jika Aging/hari lebih dari 7 hari kerja, mohon ditandai warna kuning</t>
  </si>
  <si>
    <t>20.2</t>
  </si>
  <si>
    <t>Any Service</t>
  </si>
  <si>
    <t>1.1</t>
  </si>
  <si>
    <r>
      <rPr>
        <rFont val="Arial"/>
        <b/>
        <color theme="1"/>
        <sz val="12.0"/>
      </rPr>
      <t>Biaya Titipan Notaris &gt; Export excel</t>
    </r>
    <r>
      <rPr>
        <rFont val="Arial"/>
        <color theme="1"/>
        <sz val="12.0"/>
      </rPr>
      <t xml:space="preserve">
- Klik menu Monitoring
- Klik sub menu Biaya Titipan Notaris
- Filter
- Pastikan data yang ditampilkan sesuai dengan filter
- Lakukan export report
- Pastikan hasil export sesuai dengan filter (format xls)
</t>
    </r>
  </si>
  <si>
    <t>Access Token Invalid</t>
  </si>
  <si>
    <t>Error Code: 401xx01
Error Message: "Access Token Invalid"</t>
  </si>
  <si>
    <t>URL Endpoint:
POST https://ob-sandbox.banksampoerna.co.id/snap/v1.2/balance-inquiry
Header Request:
Content-Type: application/json
X-PARTNER-ID: svkl40g5jova83o723at1lpxr2lte2w3
X-SIGNATURE: dt08dltrcVCKYkuFK1HrQUNZDL7YHU7EHg334NrM1R6Feu2Thf2A3rViwfbtWN1IuCF0+8BubWldgL7YmcU2+w==
X-TIMESTAMP: 2026-09-03T11:21:53+07:00
X-EXTERNAL-ID: BSSBALANCEINQUIRY0260903147
CHANNEL-ID: API
Authorization: Bearer 8JC5u/ClrqPjhYDso4PwoKex57iV46y+8KiZouWlhPCnrpvri58
Request Body:
{
    "partnerReferenceNo": "BSSBALANCEINQUIRY0260903147",
    "accountNo": "1023651366"
}
Response Body:
{
    "responseCode": "4011101",
    "responseMessage": "Invalid token (B2B)"
}</t>
  </si>
  <si>
    <t>1.2</t>
  </si>
  <si>
    <t>Unauthorized . Signature</t>
  </si>
  <si>
    <t>Error Code: 401xx00
Error Message: "Unauthorized Signature"</t>
  </si>
  <si>
    <t>URL Endpoint:
POST https://ob-sandbox.banksampoerna.co.id/snap/v1.2/balance-inquiry
Header Request:
Content-Type: application/json
X-PARTNER-ID: svkl40g5jova83o723at1lpxr2lte2w3
X-SIGNATURE: VhKUrXWNprXxFM4/wDKxYldeVO1lgpARvN7bpj1AtRU9AjBRogYkyeAAFoU7ypvzBskU/b9v8uxsVf1o6Rhvng==AA
X-TIMESTAMP: 2026-09-03T11:22:36+07:00
X-EXTERNAL-ID: BSSBALANCEINQUIRY0260903148
CHANNEL-ID: API
Authorization: Bearer 8JC5u/ClrqPjhYDso4PwoKex57iV46y+8KiZouWlhPCnrpvri58=
Request Body:
{
    "partnerReferenceNo": "BSSBALANCEINQUIRY0260903148",
    "accountNo": "1023651366"
}
Response Body:
{
    "responseCode": "4011100",
    "responseMessage": "Unauthorized (Invalid Signature)"
}</t>
  </si>
  <si>
    <t>1.3</t>
  </si>
  <si>
    <t>Missing Mandatory Field {} …, etc</t>
  </si>
  <si>
    <t>Error Code: 400xx02
Error Message: "Invalid Mandatory Field {........}"</t>
  </si>
  <si>
    <t>URL Endpoint:
POST https://ob-sandbox.banksampoerna.co.id/snap/v1.2/balance-inquiry
Header Request:
Content-Type: application/json
X-PARTNER-ID: svkl40g5jova83o723at1lpxr2lte2w3
X-SIGNATURE: Q4z9lWZCw41Znd76G6jYLfjeQvm29zXoj76hsKI48lc4CAi4+sF8Ev8a3KIB0dqf4N2ETBBsQyDeAuXXtY1kNw==
X-TIMESTAMP: 2026-09-03T11:24:26+07:00
X-EXTERNAL-ID: BSSBALANCEINQUIRY0260903151
CHANNEL-ID: API
Authorization: Bearer 8JC5u/ClrqPjhYDso4PwoKex57iV46y+8KiZouWlhPCnrpvri58=
Request Body:
{
    "accountNo": "1023651366"
}
Response Body:
{
    "responseCode": "4001102",
    "responseMessage": "Invalid Mandatory Field partnerReferenceNo"
}</t>
  </si>
  <si>
    <t>1.4</t>
  </si>
  <si>
    <t>Invalid Field Format {} .., etc</t>
  </si>
  <si>
    <t>Error Code: 400xx01
 Error Message: "Invalid Field Format {........}"</t>
  </si>
  <si>
    <t>URL Endpoint:
POST https://ob-sandbox.banksampoerna.co.id/snap/v1.2/balance-inquiry
Header Request:
Content-Type: application/json
X-PARTNER-ID: svkl40g5jova83o723at1lpxr2lte2w3
X-SIGNATURE: GV7dJCFxTHhXkqgadq+wHS/ur+LI7xvzwhm5GbUN1mItX78KhUEL48DZq3m+jkLAfWGJYWVNmtyuaR2fLj7Ypg==
X-TIMESTAMP: 2026-09-03T15:54:30+07:00
X-EXTERNAL-ID: BSSBALANCEINQUIRY0260903164
CHANNEL-ID: API
Authorization: Bearer 5LqQ8KGRk/Cgpq3wp7uX5Zer8KW7peSEn/CjjqPwopOZ4L6l
Request Body:
{
    "partnerReferenceNo": ["BSSBALANCEINQUIRY0260903164"],
    "accountNo": "1023644278"
}
Response Body:
{
    "responseCode": "4001101",
    "responseMessage": "Invalid field format partnerReferenceNo"
}</t>
  </si>
  <si>
    <t>1.5</t>
  </si>
  <si>
    <t>Cannot use the same X-EXTERNAL-ID</t>
  </si>
  <si>
    <t>Error Code: 409xx00
 Error Message: "Conflict"</t>
  </si>
  <si>
    <t>URL Endpoint:
POST https://ob-sandbox.banksampoerna.co.id/snap/v1.2/balance-inquiry
Header Request:
Content-Type: application/json
X-PARTNER-ID: svkl40g5jova83o723at1lpxr2lte2w3
X-SIGNATURE: BqRmw8S57mvXt/Wn+nV7iYjPclQ1W04c1gzaHt4uH4HGaWBsdnxUzKvTy2oCuOkDTFUTs8Yi4GN0QT/xAoyt5g==
X-TIMESTAMP: 2026-09-03T11:35:09+07:00
X-EXTERNAL-ID: BSSBALANCEINQUIRY0260903161
CHANNEL-ID: API
Authorization: Bearer 8KishPCvo5vqkr3oqqrptKjwpqSp8KivmuyXkuaMsvCqi4bljbo=
Request Body:
{
    "partnerReferenceNo": "BSSBALANCEINQUIRY0260903162",
    "accountNo": "1023651366"
}
Response Body:
{
    "responseCode": "4091100",
    "responseMessage": "Conflict"
}</t>
  </si>
  <si>
    <t>Balance Inquiry</t>
  </si>
  <si>
    <t>1.6</t>
  </si>
  <si>
    <t>Inquiry Saldo Utama (IDR and/or USD, etc) (termasuk saldo lainnya)</t>
  </si>
  <si>
    <t>Response Code: 2001100
Response Message: "Successful"</t>
  </si>
  <si>
    <t>URL Endpoint:
POST https://ob-sandbox.banksampoerna.co.id/snap/v1.2/balance-inquiry
Header Request:
Content-Type: application/json
X-PARTNER-ID: svkl40g5jova83o723at1lpxr2lte2w3
X-SIGNATURE: ogrDbMTeAt5v3gVPzUKWnBwhlQIfz5y78tqj2O8V7+bltVvCKe/EqLbMDCPzzKCFW/LdhYn/5jJLbJq6V9BMlw==
X-TIMESTAMP: 2026-09-03T11:20:47+07:00
X-EXTERNAL-ID: BSSBALANCEINQUIRY0260903146
CHANNEL-ID: API
Authorization: Bearer 8JC5u/ClrqPjhYDso4PwoKex57iV46y+8KiZouWlhPCnrpvri58=
Request Body:
{
    "partnerReferenceNo": "BSSBALANCEINQUIRY0260903146",
    "accountNo": "1023651366"
}
Response Body:
{
    "responseCode": "2001100",
    "responseMessage": "Successful",
    "referenceNo": "BSS001552293",
    "partnerReferenceNo": "BSSBALANCEINQUIRY0260903146",
    "accountNo": "1023651366",
    "name": "PIPO Groub",
    "accountInfos": [
        {
            "balanceType": "BALANCE",
            "amount": {
                "value": "1902021978.00",
                "currency": "IDR"
            }
        }
    ]
}</t>
  </si>
  <si>
    <t>1.7</t>
  </si>
  <si>
    <t>Inquiry Saldo lebih dari 1 "balanceType"
Di dalam field "accountInfos" terdapat lebih dari 1 object dengan "balanceType" yang berbeda</t>
  </si>
  <si>
    <t>Tidak dites karena Mitra hanya menggunakan 1 account</t>
  </si>
  <si>
    <t>1.8</t>
  </si>
  <si>
    <t>Inquiry Saldo account yang sudah tutup/tidak aktif</t>
  </si>
  <si>
    <t>Error Code: 4031118
Error Message: "Account Inactive"</t>
  </si>
  <si>
    <t>Tidak dites karena igate tidak ada
validasi sehingga akan tetap muncul
balance dari account tersebut</t>
  </si>
  <si>
    <t>1.9</t>
  </si>
  <si>
    <t>Invalid Access Token Scope</t>
  </si>
  <si>
    <t>Error Code: 4011100
Error Message: "Invalid Access Token Scope"</t>
  </si>
  <si>
    <t>Tidak dites karena hanya
menggunakan token B2B</t>
  </si>
  <si>
    <t>1.10</t>
  </si>
  <si>
    <t>Account Frozen/Abnormal</t>
  </si>
  <si>
    <t>Error Code: 4031105
Error Message: "Do Not Honor"</t>
  </si>
  <si>
    <t>1.11</t>
  </si>
  <si>
    <t>B2B2C Access Token Invalid</t>
  </si>
  <si>
    <t>Error Code: 4011102
Error Message: "Invalid Customer Token"</t>
  </si>
  <si>
    <t>Intrabank Transfer</t>
  </si>
  <si>
    <t>2.1</t>
  </si>
  <si>
    <t>URL Endpoint:
POST https://ob-sandbox.banksampoerna.co.id/snap/v1.2/transfer-intrabank
Header Request:
Authorization: Bearer INVALID_TOKEN_FOR_ERROR_TEST
Channel-Id: 95051
Content-Type: application/json
X-External-Id: ERRINTRABANK260901054540b56753
X-Partner-Id: svkl40g5jova83o723at1lpxr2lte2w3
X-Signature: W/Hpm4NtClUc+DBqzlmIMP0gtqtcBXOO/sB+Q+5JARPMkiF0py5dCXOcJP+phjCirCdmhfkY6ULTscoo3KN6aw==
X-Timestamp: 2026-09-01T12:45:40+07:00
Content-Length: 429
Request Body:
{
  "partnerReferenceNo": "ERRINTRABANK260901054540b56753",
  "beneficiaryAccountNo": "1022087726",
  "sourceAccountNo": "1023651366",
  "transactionDate": "2026-09-01T12:45:40+07:00",
  "remark": "BSS payout self test",
  "amount": {
    "value": "100000.00",
    "currency": "IDR"
  },
  "additionalInfo": {
    "channel": "",
    "deviceId": ""
  },
  "originatorInfos": [
    {
      "originatorCustomerNo": "1023651366",
      "originatorCustomerName": "PT Fintech Bina Bangsa",
      "originatorBankCode": "523"
    }
  ]
}
Response Body:
{
  "responseCode": "4011701",
  "responseMessage": "Invalid token (B2B)"
}</t>
  </si>
  <si>
    <t>2.2</t>
  </si>
  <si>
    <t>URL Endpoint:
POST https://ob-sandbox.banksampoerna.co.id/snap/v1.2/transfer-intrabank
Header Request:
Authorization: Bearer 8JKEieysvemIufCkvKHhirzwoI2V8Km7nvClkLHwpZO45JKs
Channel-Id: 95051
Content-Type: application/json
X-External-Id: ERRINTRABANK260901054541b9d8fb
X-Partner-Id: svkl40g5jova83o723at1lpxr2lte2w3
X-Signature: Rwk7ha7YnHA1Kz30Ly363XCD5VQZ9K12T0ze5iWVfD8A6boi3Zdao6ijJqUOhRZIF/FuSDCL/U3V/YNi56HeVA==aa
X-Timestamp: 2026-09-01T12:45:41+07:00
Content-Length: 429
Request Body:
{
  "partnerReferenceNo": "ERRINTRABANK260901054541b9d8fb",
  "beneficiaryAccountNo": "1022087726",
  "sourceAccountNo": "1023651366",
  "transactionDate": "2026-09-01T12:45:41+07:00",
  "remark": "BSS payout self test",
  "amount": {
    "value": "100000.00",
    "currency": "IDR"
  },
  "additionalInfo": {
    "channel": "",
    "deviceId": ""
  },
  "originatorInfos": [
    {
      "originatorCustomerNo": "1023651366",
      "originatorCustomerName": "PT Fintech Bina Bangsa",
      "originatorBankCode": "523"
    }
  ]
}
Response Body:
{
  "responseCode": "4011700",
  "responseMessage": "Unauthorized (Invalid Signature)"
}</t>
  </si>
  <si>
    <t>2.3</t>
  </si>
  <si>
    <t>URL Endpoint:
POST https://ob-sandbox.banksampoerna.co.id/snap/v1.2/transfer-intrabank
Header Request:
Authorization: Bearer 8JKEieysvemIufCkvKHhirzwoI2V8Km7nvClkLHwpZO45JKs
Channel-Id: 95051
Content-Type: application/json
X-External-Id: ERRINTRABANK2609010545422ebca0
X-Partner-Id: svkl40g5jova83o723at1lpxr2lte2w3
X-Signature: vC2Du5vOPbWIR5wOOoNLLJAv8m0akRt54qlJApaMMRE+NPPQxrOGqTpkgAyahBCnUdmeK4GqD7glYPgvmEi1rg==
X-Timestamp: 2026-09-01T12:45:42+07:00
Content-Length: 398
Request Body:
{
  "partnerReferenceNo": "ERRINTRABANK2609010545422ebca0",
  "beneficiaryAccountNo": "1022087726",
  "transactionDate": "2026-09-01T12:45:42+07:00",
  "remark": "BSS payout self test",
  "amount": {
    "value": "100000.00",
    "currency": "IDR"
  },
  "additionalInfo": {
    "channel": "",
    "deviceId": ""
  },
  "originatorInfos": [
    {
      "originatorCustomerNo": "1023651366",
      "originatorCustomerName": "PT Fintech Bina Bangsa",
      "originatorBankCode": "523"
    }
  ]
}
Response Body:
{
  "responseCode": "4001702",
  "responseMessage": "Invalid Mandatory Field sourceAccountNo"
}</t>
  </si>
  <si>
    <t>2.4</t>
  </si>
  <si>
    <t>URL Endpoint:
POST https://ob-sandbox.banksampoerna.co.id/snap/v1.2/transfer-intrabank
Header Request:
Authorization: Bearer 8JKEieysvemIufCkvKHhirzwoI2V8Km7nvClkLHwpZO45JKs
Channel-Id: 95051
Content-Type: application/json
X-External-Id: ERRINTRABANK260901054544b100fc
X-Partner-Id: svkl40g5jova83o723at1lpxr2lte2w3
X-Signature: gBoJF5X04xF9S+PcLiw+XMVTZVOwDguf3pVCykETsuHUO4Zqmk8Q2J2LV2BQtOIf9La55z53MmmkWRvR7TDmnA==
X-Timestamp: 2026-09-01T12:45:44+07:00
Content-Length: 433
Request Body:
{
  "partnerReferenceNo": "ERRINTRABANK260901054544b100fc",
  "beneficiaryAccountNo": "1022087726",
  "sourceAccountNo": "1023651366",
  "transactionDate": "2026-09-01T12:45:44+07:00AAAA",
  "remark": "BSS payout self test",
  "amount": {
    "value": "100000.00",
    "currency": "IDR"
  },
  "additionalInfo": {
    "channel": "",
    "deviceId": ""
  },
  "originatorInfos": [
    {
      "originatorCustomerNo": "1023651366",
      "originatorCustomerName": "PT Fintech Bina Bangsa",
      "originatorBankCode": "523"
    }
  ]
}
Response Body:
{
  "responseCode": "4001701",
  "responseMessage": "Invalid Field Format transactionDate"
}</t>
  </si>
  <si>
    <t>2.5</t>
  </si>
  <si>
    <t>URL Endpoint:
POST https://ob-sandbox.banksampoerna.co.id/snap/v1.2/transfer-intrabank
Header Request:
Authorization: Bearer 4rC67IyR8KuYlfCpjKnps5DwpaST8KSiiO+opdeE8KiikeuGpQ==
Channel-Id: 95051
Content-Type: application/json
X-External-Id: CONFLICTINTRA260901055715aeb3f2
X-Partner-Id: svkl40g5jova83o723at1lpxr2lte2w3
X-Signature: N6LlMRXc9O5X3YVuwjynZ9W54tNqbGTYoRot3bzq4+3XxPMx0034d3ueLvCj+Pyw7XdH4DeGPp4YLKd8TPdxrg==
X-Timestamp: 2026-09-01T12:57:16+07:00
Request Body:
{
  "partnerReferenceNo": "CONFLICTINTRA260901055715aeb3f2",
  "beneficiaryAccountNo": "1022087726",
  "sourceAccountNo": "1023651366",
  "transactionDate": "2026-09-01T12:57:15+07:00",
  "remark": "BSS Intrabank conflict test",
  "amount": {
    "value": "100000.00",
    "currency": "IDR"
  },
  "additionalInfo": {
    "channel": "",
    "deviceId": ""
  },
  "originatorInfos": [
    {
      "originatorCustomerNo": "1023651366",
      "originatorCustomerName": "PT Fintech Bina Bangsa",
      "originatorBankCode": "523"
    }
  ]
}
Response Body:
{
  "responseCode": "4091700",
  "responseMessage": "Conflict"
}</t>
  </si>
  <si>
    <t>Internal Account Inquiry</t>
  </si>
  <si>
    <t>2.6</t>
  </si>
  <si>
    <t>Inquiry Account IDR</t>
  </si>
  <si>
    <t>Response Code: 2001500
Response Message: "Successful"</t>
  </si>
  <si>
    <t>URL Endpoint:
POST https://ob-sandbox.banksampoerna.co.id/snap/v1.2/account-inquiry-internal
Header Request:
Content-Type: application/json
X-PARTNER-ID: svkl40g5jova83o723at1lpxr2lte2w3
X-SIGNATURE: 8SJkr4hwqIAKZ3BUDRwPXVvsX4vBbK+rujz6Se5KmMLu4q3mPHGQC01r7U7Y3ZVWaXUQEGO6LSdJLbFPl1DwAw==
X-TIMESTAMP: 2026-09-03T11:13:17+07:00
X-EXTERNAL-ID: BSSACCINQUIRY0260903141
CHANNEL-ID: API
Authorization: Bearer 8JC5u/ClrqPjhYDso4PwoKex57iV46y+8KiZouWlhPCnrpvri58=
Request Body:
{
    "partnerReferenceNo": "BSSACCINQUIRY0260903141",
    "beneficiaryAccountNo": "1022087726",
    "additionalInfo": {
        "channel": "",
        "deviceId": ""
    }
}
Response Body:
{
    "responseCode": "2001500",
    "responseMessage": "Successful",
    "referenceNo": "BSS001552264",
    "partnerReferenceNo": "BSSACCINQUIRY0260903141",
    "beneficiaryAccountNo": "1022087726",
    "beneficiaryAccountName": "WASLAH"
}</t>
  </si>
  <si>
    <t>2.7</t>
  </si>
  <si>
    <t>Inquiry Account USD</t>
  </si>
  <si>
    <t>Tidak dites karena hanya mengakomodasi IDR</t>
  </si>
  <si>
    <t>2.8</t>
  </si>
  <si>
    <t>Inquiry account yang sudah tutup/tidak aktif</t>
  </si>
  <si>
    <t>Error Code: 4031518
Error Message: "Inactive Account"</t>
  </si>
  <si>
    <t>Tidak dites karena igate tidak ada validasi sehingga akan tetap muncul balance dari account tersebut</t>
  </si>
  <si>
    <t>Intrabank Trigger Transfer</t>
  </si>
  <si>
    <t>2.9</t>
  </si>
  <si>
    <t>Transfer IDR to IDR</t>
  </si>
  <si>
    <t>Response Code: 2001700
Response Message: "Successful"</t>
  </si>
  <si>
    <t>URL Endpoint:
POST https://ob-sandbox.banksampoerna.co.id/snap/v1.2/transfer-intrabank
Header Request:
Authorization: Bearer 7K6f8KaGpum8teGWkuy9teeJreKHkuKzmPCgj67oja3ohI/woICW7J+J
Channel-Id: 95051
Content-Type: application/json
X-External-Id: BSSINTRABA260831081420865a90dd
X-Partner-Id: svkl40g5jova83o723at1lpxr2lte2w3
X-Signature: aRoHg0jJdAYqFskvEykd6lrnxeMqbs0tljp5aqetqooL/JSs9k5EUPNuV5ka4pmkswOQW/uPUPrkBun4n2NRog==
X-Timestamp: 2026-08-31T15:14:20+07:00
Request Body:
{
  "partnerReferenceNo": "BSSINTRABA260831081420865a90dd",
  "amount": {
    "value": "100000.00",
    "currency": "IDR"
  },
  "beneficiaryAccountNo": "1022087726",
  "sourceAccountNo": "1023651366",
  "transactionDate": "2026-08-31T15:14:20+07:00",
  "remark": "BSS Intrabank self test",
  "additionalInfo": {
    "channel": "",
    "deviceId": ""
  },
  "originatorInfos": [
    {
      "originatorCustomerNo": "1023651366",
      "originatorCustomerName": "PT Fintech Bina Bangsa",
      "originatorBankCode": "523"
    }
  ]
}
Response Body:
{
  "responseCode": "2001700",
  "responseMessage": "Successful",
  "referenceNo": "BSS001543084",
  "partnerReferenceNo": "BSSINTRABA260831081420865a90dd",
  "beneficiaryAccountNo": "1022087726",
  "transactionDate": "2026-08-31T15:14:20+07:00",
  "originatorInfos": [
    {
      "originatorCustomerNo": "1023651366",
      "originatorCustomerName": "PT Fintech Bina Bangsa",
      "originatorBankCode": "523"
    }
  ]
}</t>
  </si>
  <si>
    <t>31 Agustus 2026</t>
  </si>
  <si>
    <t>2.10</t>
  </si>
  <si>
    <t>Insufficient Fund/Saldo tidak cukup</t>
  </si>
  <si>
    <t>Error Code: 4031714
Error Message: "Insufficient Fund"</t>
  </si>
  <si>
    <t>URL Endpoint:
POST https://ob-sandbox.banksampoerna.co.id/snap/v1.2/transfer-intrabank
Header Request:
Content-Type: application/json
X-PARTNER-ID: svkl40g5jova83o723at1lpxr2lte2w3
X-SIGNATURE: rlfvfmb53HoG+FOBHQtNaROLXR/xN9uLz2Iqa56hSb9kygY4yeaduLtzA6dMZusCu4IcaLtkow3Z4kZ834vyXw==
X-TIMESTAMP: 2026-09-03T15:56:17+07:00
X-EXTERNAL-ID: BSSINTRABANK0260903164
CHANNEL-ID: API
Authorization: Bearer 5LqQ8KGRk/Cgpq3wp7uX5Zer8KW7peSEn/CjjqPwopOZ4L6l
Request Body:
{
    "partnerReferenceNo": "BSSINTRABANK0260903164",
    "amount": {
        "value": "30000000.00",
        "currency": "IDR"
    },
    "beneficiaryAccountNo": "1022087726",
    "remark": "remark test",
    "sourceAccountNo": "1023651366",
    "transactionDate": "2026-09-03T15:56:17+07:00",
    "additionalInfo": {
        "deviceId": "",
        "channel": ""
    },
    "originatorInfos": [{
        "originatorCustomerNo": "1023651366",
        "originatorCustomerName": "PT Fintech Bina Bangsa",
        "originatorBankCode": "523"
    }]
}
Response Body:
{
    "responseCode": "4031714",
    "responseMessage": "Insufficient Funds"
}</t>
  </si>
  <si>
    <t>2.11</t>
  </si>
  <si>
    <t>Duplicate Customer Reference Number</t>
  </si>
  <si>
    <t>Error Code: 4091701
Error Message: "Duplicate Customer Reference Number"</t>
  </si>
  <si>
    <t>URL Endpoint:
POST https://ob-sandbox.banksampoerna.co.id/snap/v1.2/transfer-intrabank
Header Request:
Content-Type: application/json
X-PARTNER-ID: svkl40g5jova83o723at1lpxr2lte2w3
X-SIGNATURE: 94MsSjMeW2S9rl+TX5vdsJAjhZus3jxaEt3vJ5v1dTdvebOGXzT4EzC7z+d4kTgj+XZDHVgMB3oacUeHx9oAbw==
X-TIMESTAMP: 2026-09-02T15:11:46+07:00
X-EXTERNAL-ID: BSSINTRABA260831081420865a90df
CHANNEL-ID: API
Authorization: Bearer 47md8Ke2ueeGjei4nPCog5DwqZG25Ii48KOJuvCpj5nwppeD
Request Body:
{
  "partnerReferenceNo": "BSSINTRABA260831081420865a90dd",
  "beneficiaryAccountNo": "1022087726",
  "sourceAccountNo": "1023651366",
  "transactionDate": "2026-09-02T15:11:46+07:00",
  "remark": "BSS payout self test",
  "amount": {
    "value": "100000.00",
    "currency": "IDR"
  },
  "additionalInfo": {
    "channel": "",
    "deviceId": ""
  },
  "originatorInfos": [
    {
      "originatorCustomerNo": "1023651366",
      "originatorCustomerName": "PT Fintech Bina Bangsa",
      "originatorBankCode": "523"
    }
  ]
}
Response Body:
{
    "responseCode": "4091701",
    "responseMessage": "Duplicate Customer Reference Number"
}</t>
  </si>
  <si>
    <t>Transaction Status Inquiry</t>
  </si>
  <si>
    <t>2.12</t>
  </si>
  <si>
    <t>Inquiry Status atas transaksi Intrabank Transfer berhasil
Field "serviceCode" diisi dengan value "17"
Field "latestTransactionStatus" diisi dengan value "00"</t>
  </si>
  <si>
    <t>Response Code: 2003600
Response Message: "Successful"</t>
  </si>
  <si>
    <t>URL Endpoint:
POST https://ob-sandbox.banksampoerna.co.id/snap/v1.2/transfer/status
Header Request:
Authorization: Bearer 8KSkk/Chs6nwq5O58KmfhOGnuOOsiuC4tPCggZrivIbwn4Oc
Channel-Id: 95051
Content-Type: application/json
X-External-Id: 477d81d3-6766-4cf3-b29b-ea6d64b21da8
X-Partner-Id: svkl40g5jova83o723at1lpxr2lte2w3
X-Signature: ZzLJSqw+sPqttsyiSJM7uAsVVrB902x9zIjAssFsEP3HjmTzeXfdBqAD2+h4iGbJlV1NBoHu8PqNICs692NFwg==
X-Timestamp: 2026-08-31T15:41:54+07:00
Request Body:
{
  "originalPartnerReferenceNo": "BSSINTRABA260831081420865a90dd",
  "serviceCode": "17",
  "transactionDate": "2026-08-31T15:14:20+07:00"
}
Response Body:
{
  "responseCode": "2003600",
  "responseMessage": "Successful",
  "originalReferenceNo": "BSS001543084",
  "originalPartnerReferenceNo": "BSSINTRABA260831081420865a90dd",
  "serviceCode": "17",
  "sourceAccountNo": "1023651366",
  "beneficiaryBankCode": "523",
  "beneficiaryAccountNo": "1022087726",
  "referenceNumber": "BSS001543084",
  "latestTransactionStatus": "00",
  "amount": {
    "value": "100000.00",
    "currency": "IDR"
  }
}</t>
  </si>
  <si>
    <t>Interbank Transfer</t>
  </si>
  <si>
    <t>3.1</t>
  </si>
  <si>
    <t>URL Endpoint:
POST https://ob-sandbox.banksampoerna.co.id/snap/v1.2/transfer-interbank
Header Request:
Content-Type: application/json
X-PARTNER-ID: svkl40g5jova83o723at1lpxr2lte2w3
X-SIGNATURE: +HtbN54rB+ncsIqRB0MFHOCTHGX79fPaAJKyFImLbVX03GfpxillVkUthn3FqhshpbLkXKlPpEiyF41lJLmmKA==
X-TIMESTAMP: 2026-09-02T18:13:52+07:00
X-EXTERNAL-ID: BSSRTOL20260902120
CHANNEL-ID: API
Authorization: Bearer 8KSBoum3tuiOreGqqeykpvCrl7Pgsozwp7iH5YqW8KqDg/CShIg
Request Body:
{
    "partnerReferenceNo": "BSSRTOL20260902120",
    "amount": {
        "value": "100000.00",
        "currency": "IDR"
    },
    "beneficiaryAccountName": "NASABAH BCA RINTS",
    "beneficiaryAccountNo": "1234567800",
    "beneficiaryBankCode": "014",
    "sourceAccountNo": "1023651366",
    "transactionDate": "2026-09-02T18:13:52+07:00",
    "additionalInfo": {
        "channel": "",
        "deviceId": "",
        "transferType": "ONLINE",
        "senderIdNumber": "",
        "transactionPurpose": ""
    },
    "originatorInfos": [
        {
            "originatorCustomerNo": "1023651366",
            "originatorCustomerName": "PT Fintech Bina Bangsa",
            "originatorBankCode": "523"
        }
    ]
}
Response Body:
{
    "responseCode": "4011801",
    "responseMessage": "Invalid token (B2B)"
}</t>
  </si>
  <si>
    <t>3.2</t>
  </si>
  <si>
    <t>URL Endpoint:
POST https://ob-sandbox.banksampoerna.co.id/snap/v1.2/transfer-interbank
Header Request:
Content-Type: application/json
X-PARTNER-ID: svkl40g5jova83o723at1lpxr2lte2w3
X-SIGNATURE: TQzpiPRlYJIpnIuLYMBuAbzRfnZoyG7o9O9nd8BHp7jxbVJ9FalrP8h4x1p6kHS6a6wzdh30mhKCWtRi/cQX/Q==aa
X-TIMESTAMP: 2026-09-02T18:14:38+07:00
X-EXTERNAL-ID: BSSRTOL20260902121
CHANNEL-ID: API
Authorization: Bearer 8KSBoum3tuiOreGqqeykpvCrl7Pgsozwp7iH5YqW8KqDg/CShIg=
Request Body:
{
    "partnerReferenceNo": "BSSRTOL20260902121",
    "amount": {
        "value": "100000.00",
        "currency": "IDR"
    },
    "beneficiaryAccountName": "NASABAH BCA RINTS",
    "beneficiaryAccountNo": "1234567800",
    "beneficiaryBankCode": "014",
    "sourceAccountNo": "1023651366",
    "transactionDate": "2026-09-02T18:14:38+07:00",
    "additionalInfo": {
        "channel": "",
        "deviceId": "",
        "transferType": "ONLINE",
        "senderIdNumber": "",
        "transactionPurpose": ""
    },
    "originatorInfos": [
        {
            "originatorCustomerNo": "1023651366",
            "originatorCustomerName": "PT Fintech Bina Bangsa",
            "originatorBankCode": "523"
        }
    ]
}
Response Body:
{
    "responseCode": "4011800",
    "responseMessage": "Unauthorized (Invalid Signature)"
}</t>
  </si>
  <si>
    <t>3.3</t>
  </si>
  <si>
    <t>URL Endpoint:
POST https://ob-sandbox.banksampoerna.co.id/snap/v1.2/transfer-interbank
Header Request:
Content-Type: application/json
X-PARTNER-ID: svkl40g5jova83o723at1lpxr2lte2w3
X-SIGNATURE: GBUSvrbQFG8KDzFKDogtmTssJOj1BoM+U0lVABOGMFVjXMih1Y3IVnH57Op9uxvEuTY+V+HEpsd1N8F1pU02hA==
X-TIMESTAMP: 2026-09-02T18:16:14+07:00
X-EXTERNAL-ID: BSSRTOL20260902124
CHANNEL-ID: API
Authorization: Bearer 8KSBoum3tuiOreGqqeykpvCrl7Pgsozwp7iH5YqW8KqDg/CShIg=
Request Body:
{
    "partnerReferenceNo": "BSSRTOL20260902124",
    "amount": {
        "value": "100000.00",
        "currency": "IDR"
    },
    "beneficiaryAccountNo": "1234567800",
    "beneficiaryBankCode": "014",
    "sourceAccountNo": "1023651366",
    "transactionDate": "2026-09-02T18:16:14+07:00",
    "additionalInfo": {
        "channel": "",
        "deviceId": "",
        "transferType": "ONLINE",
        "senderIdNumber": "",
        "transactionPurpose": ""
    },
    "originatorInfos": [
        {
            "originatorCustomerNo": "1023651366",
            "originatorCustomerName": "PT Fintech Bina Bangsa",
            "originatorBankCode": "523"
        }
    ]
}
Response Body:
{
    "responseCode": "4001802",
    "responseMessage": "Invalid Mandatory Field beneficiaryAccountName"
}</t>
  </si>
  <si>
    <t>3.4</t>
  </si>
  <si>
    <t>URL Endpoint:
POST https://ob-sandbox.banksampoerna.co.id/snap/v1.2/transfer-interbank
Header Request:
Content-Type: application/json
X-PARTNER-ID: svkl40g5jova83o723at1lpxr2lte2w3
X-SIGNATURE: BjCu1zk7f3mRAiK9Ky04QK7uaEar3Yv5dprAff8TovPAZ0MXcH5EeombEHgoCbrTrhBd/cQEVzQ84tBcudbLxQ==
X-TIMESTAMP: 2026-09-02T18:18:17+07:00
X-EXTERNAL-ID: BSSRTOL20260902130
CHANNEL-ID: API
Authorization: Bearer 8KSBoum3tuiOreGqqeykpvCrl7Pgsozwp7iH5YqW8KqDg/CShIg=
Request Body:
{
    "partnerReferenceNo": "BSSRTOL20260902130",
    "amount": {
        "value": "100000.00",
        "currency": "IDR"
    },
    "beneficiaryAccountName": "NASABAH BCA RINTS",
    "beneficiaryAccountNo": "1234567800",
    "beneficiaryBankCode": "014",
    "sourceAccountNo": "1023651366",
    "transactionDate": "2026-09-02T18:18:17+07:00AAA",
    "additionalInfo": {
        "channel": "",
        "deviceId": "",
        "transferType": "ONLINE",
        "senderIdNumber": "",
        "transactionPurpose": ""
    },
    "originatorInfos": [
        {
            "originatorCustomerNo": "1023651366",
            "originatorCustomerName": "PT Fintech Bina Bangsa",
            "originatorBankCode": "523"
        }
    ]
}
Response Body:
{
    "responseCode": "4001801",
    "responseMessage": "Invalid Field Format transactionDate"
}</t>
  </si>
  <si>
    <t>3.5</t>
  </si>
  <si>
    <t>URL Endpoint:
POST https://ob-sandbox.banksampoerna.co.id/snap/v1.2/transfer-interbank
Header Request:
Content-Type: application/json
X-PARTNER-ID: svkl40g5jova83o723at1lpxr2lte2w3
X-SIGNATURE: kp1+NzEG58UbKHOqWTEGJYOEFcjoqNOcv6IB3r3TxqpbpntJGUGybx430qY1xN/sl+O5ejJPL/QWaNhfcHNETQ==
X-TIMESTAMP: 2026-09-02T18:11:40+07:00
X-EXTERNAL-ID: BSSRTOL20260902111
CHANNEL-ID: API
Authorization: Bearer 8KSBoum3tuiOreGqqeykpvCrl7Pgsozwp7iH5YqW8KqDg/CShIg=
Request Body:
{
    "partnerReferenceNo": "BSSRTOL20260902111",
    "amount": {
        "value": "100000.00",
        "currency": "IDR"
    },
    "beneficiaryAccountName": "NASABAH BCA RINTS",
    "beneficiaryAccountNo": "1234567800",
    "beneficiaryBankCode": "014",
    "sourceAccountNo": "1023651366",
    "transactionDate": "2026-09-02T18:11:40+07:00",
    "additionalInfo": {
        "channel": "",
        "deviceId": "",
        "transferType": "ONLINE",
        "senderIdNumber": "",
        "transactionPurpose": ""
    },
    "originatorInfos": [
        {
            "originatorCustomerNo": "1023651366",
            "originatorCustomerName": "PT Fintech Bina Bangsa",
            "originatorBankCode": "523"
        }
    ]
}
Response Body:
{
    "responseCode": "4091800",
    "responseMessage": "Conflict"
}</t>
  </si>
  <si>
    <t>Eksternal Account Inquiry</t>
  </si>
  <si>
    <t>3.6</t>
  </si>
  <si>
    <t>Inquiry Account via Switching X, with SWIFT code</t>
  </si>
  <si>
    <t>Response Code: 2001600
Response Message: "Successful"</t>
  </si>
  <si>
    <t>Tidak dites karena BSS menggunakan bank code</t>
  </si>
  <si>
    <t>3.7</t>
  </si>
  <si>
    <t>Inquiry Account via Switching X, with bank code</t>
  </si>
  <si>
    <t>URL Endpoint:
POST https://ob-sandbox.banksampoerna.co.id/snap/v1.2/account-inquiry-external
Header Request:
Content-Type: application/json
X-PARTNER-ID: svkl40g5jova83o723at1lpxr2lte2w3
X-SIGNATURE: +qcdQ4u5VnOmMOtL8uSSZ4SJuAy6lj7EtsJSmPhn+0ZPa8u483iGy7YKlcG+w7CfjlSq1a5P79am+0e9dk4Jvw==
X-TIMESTAMP: 2026-09-03T10:56:50+07:00
X-EXTERNAL-ID: BSSACCINQUIRY0260903138
CHANNEL-ID: API
Authorization: Bearer 57+m8K+knfCmnqDwnZW95YGP8KSavvCgpIPpu5HwqoaZ64OL
Request Body:
{
    "partnerReferenceNo": "BSSACCINQUIRY0260903138",
    "beneficiaryBankCode": "014",
    "beneficiaryAccountNo": "1234567800",
    "additionalInfo": {
        "channel": "",
        "deviceId": "",
        "transferType": "ONLINE"
    }
}
Response Body:
{
    "responseCode": "2001600",
    "responseMessage": "Successful",
    "referenceNo": "552225      ",
    "partnerReferenceNo": "BSSACCINQUIRY0260903138",
    "beneficiaryBankCode": "014",
    "beneficiaryAccountNo": "1234567800",
    "beneficiaryAccountName": "NASABAH BCA RINTS",
    "additionalInfo": {}
}</t>
  </si>
  <si>
    <t>3.8</t>
  </si>
  <si>
    <t>Error Code: 4031618
Error Message: "Inactive Account"</t>
  </si>
  <si>
    <t>Tidak dites karena di igate tidak ada validasi sehingga akan tetap muncul balance dari account tersebut</t>
  </si>
  <si>
    <t>Interbank Trigger Transfer</t>
  </si>
  <si>
    <t>3.9</t>
  </si>
  <si>
    <t>Transfer to Account via Switching X, with SWIFT code</t>
  </si>
  <si>
    <t>Response Code: 2001800
Response Message: "Successful"</t>
  </si>
  <si>
    <t>3.10</t>
  </si>
  <si>
    <t>Transfer to Account via Switching X, with bank code</t>
  </si>
  <si>
    <t>URL Endpoint:
POST https://ob-sandbox.banksampoerna.co.id/snap/v1.2/transfer-interbank
Header Request:
Content-Type: application/json
X-PARTNER-ID: svkl40g5jova83o723at1lpxr2lte2w3
X-SIGNATURE: kAyoPlKcjDMJcAsjidvidHsx3j6t9+h55Dyw+tL/1JzpbfYhyFPCFbmGzAV5txrEo0o7Si5Xcj6s9InTC0e/3A==
X-TIMESTAMP: 2026-09-02T18:01:15+07:00
X-EXTERNAL-ID: BSSRTOL20260902111
CHANNEL-ID: API
Authorization: Bearer 8KG1t+KPgOavmOiWtuaWh+WmmvCku5jwp7mg6Z2e8KmiqfCjt7s=
Request Body:
{
    "partnerReferenceNo": "BSSRTOL20260902111",
    "amount": {
        "value": "100000.00",
        "currency": "IDR"
    },
    "beneficiaryAccountName": "NASABAH BCA RINTS",
    "beneficiaryAccountNo": "1234567800",
    "beneficiaryBankCode": "014",
    "sourceAccountNo": "1023651366",
    "transactionDate": "2026-09-02T18:01:15+07:00",
    "additionalInfo": {
        "channel": "",
        "deviceId": "",
        "transferType": "ONLINE",
        "senderIdNumber": "",
        "transactionPurpose": ""
    },
    "originatorInfos": [
        {
            "originatorCustomerNo": "1023651366",
            "originatorCustomerName": "PT Fintech Bina Bangsa",
            "originatorBankCode": "523"
        }
    ]
}
Response Body:
{
    "responseCode": "2001800",
    "responseMessage": "Successful",
    "referenceNo": "549816      ",
    "partnerReferenceNo": "BSSRTOL20260902111",
    "sourceAccountNo": "1023651366",
    "beneficiaryBankCode": "014",
    "beneficiaryAccountNo": "1234567800",
    "originatorInfos": [
        {
            "originatorCustomerNo": "1023651366",
            "originatorCustomerName": "PT FINTECH BINA BANGSA",
            "originatorBankCode": "523"
        }
    ]
}</t>
  </si>
  <si>
    <t>3.11</t>
  </si>
  <si>
    <t>Error Code: 4031814
Error Message: "Insufficient Fund"</t>
  </si>
  <si>
    <t>URL Endpoint:
POST https://ob-sandbox.banksampoerna.co.id/snap/v1.2/transfer-interbank
Header Request:
Content-Type: application/json
X-PARTNER-ID: svkl40g5jova83o723at1lpxr2lte2w3
X-SIGNATURE: RRZAW+jO0ZfG3RgKOXK2aUWrm07RmhYF3LM6FGHN5SiZAyspJlZukJcd2JM2uNRc1MDg/RkSliXR+l+zBUKJhA==
X-TIMESTAMP: 2026-09-03T15:57:24+07:00
X-EXTERNAL-ID: BSSINTRABANK0260903165
CHANNEL-ID: API
Authorization: Bearer 5LqQ8KGRk/Cgpq3wp7uX5Zer8KW7peSEn/CjjqPwopOZ4L6l
Request Body:
{
    "partnerReferenceNo": "BSSINTRABANK0260903165",
    "amount": {
        "value": "40000000.00",
        "currency": "IDR"
    },
    "beneficiaryAccountName": "NASABAH BANK BCA DUMMY",
    "beneficiaryAccountNo": "1234567800",
    "beneficiaryBankCode": "014",
    "sourceAccountNo": "1023651366",
    "transactionDate": "2026-09-03T15:57:24+07:00",
    "additionalInfo": {
        "channel": "",
        "deviceId": "",
        "transferType": "ONLINE",
        "senderIdNumber": "",
        "transactionPurpose": ""
    },
    "originatorInfos": [
        {
            "originatorCustomerNo": "1023651366",
            "originatorCustomerName": "PT Fintech Bina Bangsa",
            "originatorBankCode": "523"
        }
    ]
}
Response Body:
{
    "responseCode": "4031814",
    "responseMessage": "Insufficient Funds"
}</t>
  </si>
  <si>
    <t>3.12</t>
  </si>
  <si>
    <t>Error Code: 4091801
Error Message: "Duplicate Customer Reference Number"</t>
  </si>
  <si>
    <t>URL Endpoint:
POST https://ob-sandbox.banksampoerna.co.id/snap/v1.2/transfer-interbank
Header Request:
Content-Type: application/json
X-PARTNER-ID: svkl40g5jova83o723at1lpxr2lte2w3
X-SIGNATURE: WN2fHSJZdM0jKRMB1DspXHba2pU2jVvkqQL45rb30FmSCfv/fIndWqrj00tqcqfLfQKF3HNn1UEq+npcXRQkog==
X-TIMESTAMP: 2026-09-02T18:09:20+07:00
X-EXTERNAL-ID: BSSRTOL20260902112
CHANNEL-ID: API
Authorization: Bearer 8KG1t+KPgOavmOiWtuaWh+WmmvCku5jwp7mg6Z2e8KmiqfCjt7s=
Request Body:
{
    "partnerReferenceNo": "BSSRTOL20260902111",
    "amount": {
        "value": "100000.00",
        "currency": "IDR"
    },
    "beneficiaryAccountName": "NASABAH BCA RINTS",
    "beneficiaryAccountNo": "1234567800",
    "beneficiaryBankCode": "014",
    "sourceAccountNo": "1023651366",
    "transactionDate": "2026-09-02T18:09:20+07:00",
    "additionalInfo": {
        "channel": "",
        "deviceId": "",
        "transferType": "ONLINE",
        "senderIdNumber": "",
        "transactionPurpose": ""
    },
    "originatorInfos": [
        {
            "originatorCustomerNo": "1023651366",
            "originatorCustomerName": "PT Fintech Bina Bangsa",
            "originatorBankCode": "523"
        }
    ]
}
Response Body:
{
    "responseCode": "4091801",
    "responseMessage": "Duplicate Customer Reference Number"
}</t>
  </si>
  <si>
    <t>3.13</t>
  </si>
  <si>
    <t>Inquiry Status atas transaksi Interbank Transfer berhasil
Field "serviceCode" diisi dengan value "18"
Field "latestTransactionStatus" diisi dengan value "00"</t>
  </si>
  <si>
    <t>URL Endpoint:
POST https://ob-sandbox.banksampoerna.co.id/snap/v1.2/transfer/status
Header Request:
Content-Type: application/json
X-PARTNER-ID: svkl40g5jova83o723at1lpxr2lte2w3
X-SIGNATURE: ON0pkcUdMP0Zqg3cLvpQ5iysu0E0jT4Y/nDtvgpPPk1ZyBNPKLNYWa6e0oyHuYjlwVe69yaREyn0OKZ/N6+jyQ==
X-TIMESTAMP: 2026-09-02T18:19:22+07:00
X-EXTERNAL-ID: 7be2f637-2440-4954-877f-7cf102d63483
CHANNEL-ID: API
Authorization: Bearer 8KSBoum3tuiOreGqqeykpvCrl7Pgsozwp7iH5YqW8KqDg/CShIg=
Request Body:
{
  "originalPartnerReferenceNo": "BSSRTOL20260902111",
  "serviceCode": "18",
  "transactionDate": "2026-09-02T18:01:15+07:00"
}
Response Body:
{
    "responseCode": "2003600",
    "responseMessage": "Successful",
    "originalReferenceNo": "549816      ",
    "originalPartnerReferenceNo": "BSSRTOL20260902111",
    "serviceCode": "18",
    "sourceAccountNo": "1023651366",
    "beneficiaryBankCode": "014",
    "beneficiaryAccountNo": "1234567800",
    "referenceNumber": "549816      ",
    "latestTransactionStatus": "00",
    "amount": {
        "value": "100000.00",
        "currency": "IDR"
    }
}</t>
  </si>
  <si>
    <t>Interbank Transfer via BI FAST</t>
  </si>
  <si>
    <t>4.1</t>
  </si>
  <si>
    <t>URL Endpoint:
POST https://ob-sandbox.banksampoerna.co.id/snap/v1.2/transfer-interbank
Header Request:
Authorization: Bearer INVALID_TOKEN_FOR_ERROR_TEST
Channel-Id: 95051
Content-Type: application/json
X-External-Id: ERRBIFAST2608311043501413da
X-Partner-Id: svkl40g5jova83o723at1lpxr2lte2w3
X-Signature: l4C2t3VXmLoTh+MLyognG+0+xvm8Z/zNVcrIJqRY7npEJno7/3pdavZNT3q5Hh9+Z+g/nKxjvTw2a8GAyVwyIg==
X-Timestamp: 2026-08-31T17:43:50+07:00
Content-Length: 588
Request Body:
{
  "partnerReferenceNo": "ERRBIFAST2608311043501413da",
  "amount": {
    "value": "100000.00",
    "currency": "IDR"
  },
  "beneficiaryAccountNo": "1234567800",
  "sourceAccountNo": "1023651366",
  "transactionDate": "2026-08-31T17:43:50+07:00",
  "remark": "BSS BIFAST self test",
  "additionalInfo": {
    "channel": "",
    "deviceId": "",
    "transferType": "BIFAST",
    "senderIdNumber": "844304469011000",
    "transactionPurpose": "99"
  },
  "originatorInfos": [
    {
      "originatorCustomerNo": "1023651366",
      "originatorCustomerName": "PT Fintech Bina Bangsa",
      "originatorBankCode": "523"
    }
  ],
  "beneficiaryAccountName": "NASABAH BANK BCA DUMMY",
  "beneficiaryBankCode": "CENAIDJA"
}
Response Body:
{
  "responseCode": "4011801",
  "responseMessage": "Invalid token (B2B)"
}</t>
  </si>
  <si>
    <t>4.2</t>
  </si>
  <si>
    <t>URL Endpoint:
POST https://ob-sandbox.banksampoerna.co.id/snap/v1.2/transfer-interbank
Header Request:
Authorization: Bearer 8Kiel+GSgPCjmLTwobi947OB8KaRquiCmeylnuaZiuu7sPCoiIo=
Channel-Id: 95051
Content-Type: application/json
X-External-Id: ERRBIFAST260831104407888603
X-Partner-Id: svkl40g5jova83o723at1lpxr2lte2w3
X-Signature: MPSKP0JK7qjGGyHde7y8q/oEWbdixQaAlaoJW/eTmD9WCuINpoyMlWX1pB6TcbQ11oo+v4fPxEsxoXOSBKg6Yw==aa
X-Timestamp: 2026-08-31T17:44:07+07:00
Content-Length: 588
Request Body:
{
  "partnerReferenceNo": "ERRBIFAST260831104407888603",
  "amount": {
    "value": "100000.00",
    "currency": "IDR"
  },
  "beneficiaryAccountNo": "1234567800",
  "sourceAccountNo": "1023651366",
  "transactionDate": "2026-08-31T17:44:07+07:00",
  "remark": "BSS BIFAST self test",
  "additionalInfo": {
    "channel": "",
    "deviceId": "",
    "transferType": "BIFAST",
    "senderIdNumber": "844304469011000",
    "transactionPurpose": "99"
  },
  "originatorInfos": [
    {
      "originatorCustomerNo": "1023651366",
      "originatorCustomerName": "PT Fintech Bina Bangsa",
      "originatorBankCode": "523"
    }
  ],
  "beneficiaryAccountName": "NASABAH BANK BCA DUMMY",
  "beneficiaryBankCode": "CENAIDJA"
}
Response Body:
{
  "responseCode": "4011800",
  "responseMessage": "Unauthorized (Invalid Signature)"
}</t>
  </si>
  <si>
    <t>4.3</t>
  </si>
  <si>
    <t>URL Endpoint:
POST https://ob-sandbox.banksampoerna.co.id/snap/v1.2/transfer-interbank
Header Request:
Authorization: Bearer 8Kiel+GSgPCjmLTwobi947OB8KaRquiCmeylnuaZiuu7sPCoiIo=
Channel-Id: 95051
Content-Type: application/json
X-External-Id: ERRBIFAST2608311044082e0690
X-Partner-Id: svkl40g5jova83o723at1lpxr2lte2w3
X-Signature: a5t6hN4ZmfXzyb80c5OrD4nHI+/xfEuk79VgFKlmACznx4a2bKP4YsfYOSpLv2AC5Pgj9vYyFor5yMh1Dpx9pQ==
X-Timestamp: 2026-08-31T17:44:08+07:00
Content-Length: 557
Request Body:
{
  "partnerReferenceNo": "ERRBIFAST2608311044082e0690",
  "amount": {
    "value": "100000.00",
    "currency": "IDR"
  },
  "beneficiaryAccountNo": "1234567800",
  "transactionDate": "2026-08-31T17:44:08+07:00",
  "remark": "BSS BIFAST self test",
  "additionalInfo": {
    "channel": "",
    "deviceId": "",
    "transferType": "BIFAST",
    "senderIdNumber": "844304469011000",
    "transactionPurpose": "99"
  },
  "originatorInfos": [
    {
      "originatorCustomerNo": "1023651366",
      "originatorCustomerName": "PT Fintech Bina Bangsa",
      "originatorBankCode": "523"
    }
  ],
  "beneficiaryAccountName": "NASABAH BANK BCA DUMMY",
  "beneficiaryBankCode": "CENAIDJA"
}
Response Body:
{
  "responseCode": "4001802",
  "responseMessage": "Invalid Mandatory Field sourceAccountNo"
}</t>
  </si>
  <si>
    <t>4.4</t>
  </si>
  <si>
    <t>URL Endpoint:
POST https://ob-sandbox.banksampoerna.co.id/snap/v1.2/transfer-interbank
Header Request:
Authorization: Bearer 8Kiel+GSgPCjmLTwobi947OB8KaRquiCmeylnuaZiuu7sPCoiIo=
Channel-Id: 95051
Content-Type: application/json
X-External-Id: ERRBIFAST260831104409d89a49
X-Partner-Id: svkl40g5jova83o723at1lpxr2lte2w3
X-Signature: sL8+kvALPHvkeNXXniOnLk6KTH3yh4KHQ55K7b9qppqRaJ+5VGKhE5ajiFHtDiKix8hc7+K6g0bNbhFcd5pitQ==
X-Timestamp: 2026-08-31T17:44:09+07:00
Content-Length: 592
Request Body:
{
  "partnerReferenceNo": "ERRBIFAST260831104409d89a49",
  "amount": {
    "value": "100000.00",
    "currency": "IDR"
  },
  "beneficiaryAccountNo": "1234567800",
  "sourceAccountNo": "1023651366",
  "transactionDate": "2026-08-31T17:44:09+07:00AAAA",
  "remark": "BSS BIFAST self test",
  "additionalInfo": {
    "channel": "",
    "deviceId": "",
    "transferType": "BIFAST",
    "senderIdNumber": "844304469011000",
    "transactionPurpose": "99"
  },
  "originatorInfos": [
    {
      "originatorCustomerNo": "1023651366",
      "originatorCustomerName": "PT Fintech Bina Bangsa",
      "originatorBankCode": "523"
    }
  ],
  "beneficiaryAccountName": "NASABAH BANK BCA DUMMY",
  "beneficiaryBankCode": "CENAIDJA"
}
Response Body:
{
  "responseCode": "4001801",
  "responseMessage": "Invalid Field Format transactionDate"
}</t>
  </si>
  <si>
    <t>4.5</t>
  </si>
  <si>
    <t>URL Endpoint:
POST https://ob-sandbox.banksampoerna.co.id/snap/v1.2/transfer-interbank
Header Request:
Content-Type: application/json
X-PARTNER-ID: svkl40g5jova83o723at1lpxr2lte2w3
X-SIGNATURE: H2KbIWKEXXBub/K7g7MOd5icLe1NcyuXI+TPz90oEI9AKRC+VMsX91bgUUA8gPVvYSEJzt57WhpUaW1Yxp5qGg==
X-TIMESTAMP: 2026-09-02T15:34:51+07:00
X-EXTERNAL-ID: BSSBIFAST2026090289
CHANNEL-ID: API
Authorization: Bearer 8KWSqfCfkITwo5y86aGQ8KigneKFvuu2rOarrOaluuqmtvCgiL8=
Request Body:
{
    "partnerReferenceNo": "BSSBIFAST2026090289",
    "amount": {
        "value": "100000.00",
        "currency": "IDR"
    },
    "beneficiaryAccountName": "NASABAH BANK BCA DUMMY",
    "beneficiaryAccountNo": "1234567800",
    "beneficiaryBankCode": "CENAIDJA",
    "sourceAccountNo": "1023651366",
    "transactionDate": "2026-09-02T15:34:51+07:00",
    "additionalInfo": {
        "channel": "",
        "deviceId": "",
        "transferType": "BIFAST",
        "senderIdNumber": "844304469011000",
        "transactionPurpose": "99"
    },
    "originatorInfos": [
        {
            "originatorCustomerNo": "1023651366",
            "originatorCustomerName": "PT Fintech Bina Bangsa",
            "originatorBankCode": "SAHMIDJA"
        }
    ]
}
Response Body:
{
    "responseCode": "4091800",
    "responseMessage": "Conflict"
}</t>
  </si>
  <si>
    <t>4.6</t>
  </si>
  <si>
    <t>URL Endpoint:
POST https://ob-sandbox.banksampoerna.co.id/snap/v1.2/account-inquiry-external
Header Request:
Content-Type: application/json
X-PARTNER-ID: svkl40g5jova83o723at1lpxr2lte2w3
X-SIGNATURE: 9qXdHRpCdjmesvoXZffozy9pWqjw0BwZ49up2IA2L2IRuAhSobVMIhTWTa1xY/ZmLntOjK+fOzi2PPyn97T5OQ==
X-TIMESTAMP: 2026-09-03T10:50:49+07:00
X-EXTERNAL-ID: BSSACCINQUIRY0260903136
CHANNEL-ID: API
Authorization: Bearer 57+m8K+knfCmnqDwnZW95YGP8KSavvCgpIPpu5HwqoaZ64OL
Request Body:
{
    "partnerReferenceNo": "BSSACCINQUIRY0260903136",
    "beneficiaryBankCode": "CENAIDJA",
    "beneficiaryAccountNo": "1234567800",
    "additionalInfo": {
        "transferType": "BIFAST",
        "channel": "",
        "deviceId": "",
        "transactionPurpose": "99"
    }
}
Response Body:
{
    "responseCode": "2001600",
    "responseMessage": "Successful",
    "referenceNo": "BSS001552211",
    "partnerReferenceNo": "BSSACCINQUIRY0260903136",
    "beneficiaryBankCode": "CENAIDJA",
    "beneficiaryAccountNo": "1234567800",
    "beneficiaryAccountName": "NASABAH BANK BCA DUMMY",
    "additionalInfo": {
        "destinationAccountType": "SVGS",
        "destinationType": "",
        "destinationIdNumber": "",
        "destinationResidentStatus": "",
        "destinationTownCode": ""
    }
}</t>
  </si>
  <si>
    <t>4.7</t>
  </si>
  <si>
    <t>Tidak dites karena bifast menggunakan swift code</t>
  </si>
  <si>
    <t>4.8</t>
  </si>
  <si>
    <t>4.9</t>
  </si>
  <si>
    <t>URL Endpoint:
POST https://ob-sandbox.banksampoerna.co.id/snap/v1.2/transfer-interbank
Header Request:
Content-Type: application/json
X-PARTNER-ID: svkl40g5jova83o723at1lpxr2lte2w3
X-SIGNATURE: RN5Lc7xjlL08WfB6zVBa7zWwpm1rXyTAc8wk1gPsGtlrDzmzwr4dRpwZwRFhnR4ENUSA6AYSfCU5nhq39R+POQ==
X-TIMESTAMP: 2026-09-02T15:33:31+07:00
X-EXTERNAL-ID: BSSBIFAST2026090289
CHANNEL-ID: API
Authorization: Bearer 8KWSqfCfkITwo5y86aGQ8KigneKFvuu2rOarrOaluuqmtvCgiL8=
Request Body:
{
    "partnerReferenceNo": "BSSBIFAST2026090289",
    "amount": {
        "value": "100000.00",
        "currency": "IDR"
    },
    "beneficiaryAccountName": "NASABAH BANK BCA DUMMY",
    "beneficiaryAccountNo": "1234567800",
    "beneficiaryBankCode": "CENAIDJA",
    "sourceAccountNo": "1023651366",
    "transactionDate": "2026-09-02T15:33:31+07:00",
    "additionalInfo": {
        "channel": "",
        "deviceId": "",
        "transferType": "BIFAST",
        "senderIdNumber": "844304469011000",
        "transactionPurpose": "99"
    },
    "originatorInfos": [
        {
            "originatorCustomerNo": "1023651366",
            "originatorCustomerName": "PT Fintech Bina Bangsa",
            "originatorBankCode": "SAHMIDJA"
        }
    ]
}
Response Body:
{
    "responseCode": "2001800",
    "responseMessage": "Successful",
    "referenceNo": "BSS001549339",
    "partnerReferenceNo": "BSSBIFAST2026090289",
    "sourceAccountNo": "1023651366",
    "beneficiaryBankCode": "CENAIDJA",
    "beneficiaryAccountNo": "1234567800",
    "originatorInfos": [
        {
            "originatorCustomerNo": "1023651366",
            "originatorCustomerName": "PT FINTECH BINA BANGSA",
            "originatorBankCode": "SAHMIDJA"
        }
    ]
}</t>
  </si>
  <si>
    <t>4.10</t>
  </si>
  <si>
    <t>4.11</t>
  </si>
  <si>
    <t xml:space="preserve">Insufficient Fund/Saldo tidak cukup </t>
  </si>
  <si>
    <t>URL Endpoint:
POST https://ob-sandbox.banksampoerna.co.id/snap/v1.2/transfer-interbank
Header Request:
Content-Type: application/json
X-PARTNER-ID: svkl40g5jova83o723at1lpxr2lte2w3
X-SIGNATURE: 9lFzrB6FIWAUYV9LakvS7qmw39yh2z5ElJWLfa+/5ZNQJVxF1IaCUVtOfZnhQOBjDXy5w7o8gt8ZKgVsSox0ow==
X-TIMESTAMP: 2026-09-03T15:58:28+07:00
X-EXTERNAL-ID: BSSINTRABANK0260903166
CHANNEL-ID: API
Authorization: Bearer 5LqQ8KGRk/Cgpq3wp7uX5Zer8KW7peSEn/CjjqPwopOZ4L6l
Request Body:
{
    "partnerReferenceNo": "BSSINTRABANK0260903166",
    "amount": {
        "value": "40000000.00",
        "currency": "IDR"
    },
    "beneficiaryAccountName": "NASABAH BANK BCA DUMMY",
    "beneficiaryAccountNo": "1234567800",
    "beneficiaryBankCode": "CENAIDJA",
    "sourceAccountNo": "1023651366",
    "transactionDate": "2026-09-03T15:58:28+07:00",
    "additionalInfo": {
        "channel": "",
        "deviceId": "",
        "transferType": "BIFAST",
        "senderIdNumber": "844304469011000",
        "transactionPurpose": "99"
    },
    "originatorInfos": [
        {
            "originatorCustomerNo": "1023651366",
            "originatorCustomerName": "PT Fintech Bina Bangsa",
            "originatorBankCode": "523"
        }
    ]
}
Response Body:
{
    "responseCode": "4031814",
    "responseMessage": "Insufficient Funds"
}</t>
  </si>
  <si>
    <t>4.12</t>
  </si>
  <si>
    <t>URL Endpoint:
POST https://ob-sandbox.banksampoerna.co.id/snap/v1.2/transfer-interbank
Header Request:
Content-Type: application/json
X-PARTNER-ID: svkl40g5jova83o723at1lpxr2lte2w3
X-SIGNATURE: 8Jun4cv7vPyRqbNl5OFhBe6bkdwfKE5W1z2EoN+Bx4T9+qZJbWQXeVli9VAT3/HOvK/GXn+7W7ypr/giV1K8/Q==
X-TIMESTAMP: 2026-09-02T15:35:45+07:00
X-EXTERNAL-ID: BSSBIFAST2026090291
CHANNEL-ID: API
Authorization: Bearer 8KWSqfCfkITwo5y86aGQ8KigneKFvuu2rOarrOaluuqmtvCgiL8=
Request Body:
{
    "partnerReferenceNo": "BSSBIFAST2026090289",
    "amount": {
        "value": "100000.00",
        "currency": "IDR"
    },
    "beneficiaryAccountName": "NASABAH BANK BCA DUMMY",
    "beneficiaryAccountNo": "1234567800",
    "beneficiaryBankCode": "CENAIDJA",
    "sourceAccountNo": "1023651366",
    "transactionDate": "2026-09-02T15:35:45+07:00",
    "additionalInfo": {
        "channel": "",
        "deviceId": "",
        "transferType": "BIFAST",
        "senderIdNumber": "844304469011000",
        "transactionPurpose": "99"
    },
    "originatorInfos": [
        {
            "originatorCustomerNo": "1023651366",
            "originatorCustomerName": "PT Fintech Bina Bangsa",
            "originatorBankCode": "SAHMIDJA"
        }
    ]
}
Response Body:
{
    "responseCode": "4091801",
    "responseMessage": "Duplicate Customer Reference Number"
}</t>
  </si>
  <si>
    <t>4.13</t>
  </si>
  <si>
    <t>URL Endpoint:
POST https://ob-sandbox.banksampoerna.co.id/snap/v1.2/transfer/status
Header Request:
Content-Type: application/json
X-PARTNER-ID: svkl40g5jova83o723at1lpxr2lte2w3
X-SIGNATURE: my9sfLyWKVkElZQ9y6qjfusGwDSu3pwvZk+tfhqv/TF188hZr/zbIZbJqorGAzaVcVpRPfMSmNH0u3kRbeWVGg==
X-TIMESTAMP: 2026-09-02T15:40:39+07:00
X-EXTERNAL-ID: e2d0082a-38e1-417f-9a86-f7bbee73f401
CHANNEL-ID: API
Authorization: Bearer 8KWSqfCfkITwo5y86aGQ8KigneKFvuu2rOarrOaluuqmtvCgiL8=
Request Body:
{
  "originalPartnerReferenceNo": "BSSBIFAST2026090289",
  "serviceCode": "18",
  "transactionDate": "2026-09-02T15:33:31+07:00"
}
Response Body:
{
    "responseCode": "2003600",
    "responseMessage": "Successful",
    "originalReferenceNo": "BSS001549339",
    "originalPartnerReferenceNo": "BSSBIFAST2026090289",
    "serviceCode": "18",
    "sourceAccountNo": "1023651366",
    "beneficiaryBankCode": "CENAIDJA",
    "beneficiaryAccountNo": "1234567800",
    "referenceNumber": "BSS001549339",
    "latestTransactionStatus": "00",
    "amount": {
        "value": "100000.00",
        "currency": "IDR"
    }
}</t>
  </si>
  <si>
    <t>RTGS Transfer</t>
  </si>
  <si>
    <t>5.1</t>
  </si>
  <si>
    <t>URL Endpoint:
POST https://ob-sandbox.banksampoerna.co.id/snap/v1.2/transfer-rtgs
Header Request:
Authorization: Bearer INVALID_TOKEN_FOR_ERROR_TEST
Channel-Id: 95051
Content-Type: application/json
X-External-Id: ERRRTGS26083110440662340c
X-Partner-Id: svkl40g5jova83o723at1lpxr2lte2w3
X-Signature: 1zfDksLsjESYqG3+sETzgn2pC1DqBwv2e7zz2J+rbx4yJvMR9atMRLgAjslBeOlwz2nZ9qlA56PQ/wrdmq97NQ==
X-Timestamp: 2026-08-31T17:44:06+07:00
Content-Length: 669
Request Body:
{
  "partnerReferenceNo": "ERRRTGS26083110440662340c",
  "amount": {
    "value": "100000002.00",
    "currency": "IDR"
  },
  "beneficiaryAccountNo": "1234567800",
  "sourceAccountNo": "1023651366",
  "transactionDate": "2026-08-31T17:44:06+07:00",
  "remark": "BSS RTGS self test",
  "additionalInfo": {
    "channel": "",
    "deviceId": "",
    "senderAddress": "Jakarta",
    "senderCityCode": "0394",
    "receiverCityCode": "0394"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"1",
  "beneficiaryAddress": "JAKARTA"
}
Response Body:
{
  "responseCode": "4012201",
  "responseMessage": "Invalid token (B2B)"
}</t>
  </si>
  <si>
    <t>5.2</t>
  </si>
  <si>
    <t>URL Endpoint:
POST https://ob-sandbox.banksampoerna.co.id/snap/v1.2/transfer-rtgs
Header Request:
Authorization: Bearer 8Kiel+GSgPCjmLTwobi947OB8KaRquiCmeylnuaZiuu7sPCoiIo=
Channel-Id: 95051
Content-Type: application/json
X-External-Id: ERRRTGS260831104407850181
X-Partner-Id: svkl40g5jova83o723at1lpxr2lte2w3
X-Signature: gX64qctm4KQFhGSh+rNaJG7KkVV/030+E0bVXPMGSQXDFzN3G7bN/UvBRLatsIBM7IgXY1dBofhRvaaWSZSGMg==aa
X-Timestamp: 2026-08-31T17:44:07+07:00
Content-Length: 669
Request Body:
{
  "partnerReferenceNo": "ERRRTGS260831104407850181",
  "amount": {
    "value": "100000002.00",
    "currency": "IDR"
  },
  "beneficiaryAccountNo": "1234567800",
  "sourceAccountNo": "1023651366",
  "transactionDate": "2026-08-31T17:44:07+07:00",
  "remark": "BSS RTGS self test",
  "additionalInfo": {
    "channel": "",
    "deviceId": "",
    "senderAddress": "Jakarta",
    "senderCityCode": "0394",
    "receiverCityCode": "0394"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"1",
  "beneficiaryAddress": "JAKARTA"
}
Response Body:
{
  "responseCode": "4012200",
  "responseMessage": "Unauthorized (Invalid Signature)"
}</t>
  </si>
  <si>
    <t>5.3</t>
  </si>
  <si>
    <t>URL Endpoint:
POST https://ob-sandbox.banksampoerna.co.id/snap/v1.2/transfer-rtgs
Header Request:
Authorization: Bearer 8Kiel+GSgPCjmLTwobi947OB8KaRquiCmeylnuaZiuu7sPCoiIo=
Channel-Id: 95051
Content-Type: application/json
X-External-Id: ERRRTGS2608311044091beedd
X-Partner-Id: svkl40g5jova83o723at1lpxr2lte2w3
X-Signature: vmgR7Wa/QMehPNGI9KE1gUgqfnQ7oGG2MHyY/k39kleUco/A2doAExyZ0s5YilqGgJckDGYuUu8YP8cDLJNFcw==
X-Timestamp: 2026-08-31T17:44:09+07:00
Content-Length: 638
Request Body:
{
  "partnerReferenceNo": "ERRRTGS2608311044091beedd",
  "amount": {
    "value": "100000002.00",
    "currency": "IDR"
  },
  "beneficiaryAccountNo": "1234567800",
  "transactionDate": "2026-08-31T17:44:09+07:00",
  "remark": "BSS RTGS self test",
  "additionalInfo": {
    "channel": "",
    "deviceId": "",
    "senderAddress": "Jakarta",
    "senderCityCode": "0394",
    "receiverCityCode": "0394"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"1",
  "beneficiaryAddress": "JAKARTA"
}
Response Body:
{
  "responseCode": "4002202",
  "responseMessage": "Invalid Mandatory Field sourceAccountNo"
}</t>
  </si>
  <si>
    <t>5.4</t>
  </si>
  <si>
    <t>URL Endpoint:
POST https://ob-sandbox.banksampoerna.co.id/snap/v1.2/transfer-rtgs
Header Request:
Authorization: Bearer 8Kiel+GSgPCjmLTwobi947OB8KaRquiCmeylnuaZiuu7sPCoiIo=
Channel-Id: 95051
Content-Type: application/json
X-External-Id: ERRRTGS2608311044108b830b
X-Partner-Id: svkl40g5jova83o723at1lpxr2lte2w3
X-Signature: OMexhRadWjkODaRFo1TvoGNyq0NP6sIu0dXGWbSxMx60ZvFSFsKARXsPSooRXaWcplM3/WR0CQlYbp7yY2SM4Q==
X-Timestamp: 2026-08-31T17:44:10+07:00
Content-Length: 673
Request Body:
{
  "partnerReferenceNo": "ERRRTGS2608311044108b830b",
  "amount": {
    "value": "100000002.00",
    "currency": "IDR"
  },
  "beneficiaryAccountNo": "1234567800",
  "sourceAccountNo": "1023651366",
  "transactionDate": "2026-08-31T17:44:10+07:00AAAA",
  "remark": "BSS RTGS self test",
  "additionalInfo": {
    "channel": "",
    "deviceId": "",
    "senderAddress": "Jakarta",
    "senderCityCode": "0394",
    "receiverCityCode": "0394"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"1",
  "beneficiaryAddress": "JAKARTA"
}
Response Body:
{
  "responseCode": "4002201",
  "responseMessage": "Invalid Field Format transactionDate"
}</t>
  </si>
  <si>
    <t>5.5</t>
  </si>
  <si>
    <t>URL Endpoint:
POST https://ob-sandbox.banksampoerna.co.id/snap/v1.2/transfer-rtgs
Header Request:
Authorization: Bearer 8Kiel+GSgPCjmLTwobi947OB8KaRquiCmeylnuaZiuu7sPCoiIo=
Channel-Id: 95051
Content-Type: application/json
X-External-Id: BSSRTGS260831070903424d8dd3
X-Partner-Id: svkl40g5jova83o723at1lpxr2lte2w3
X-Signature: 62O22LwUt3dAsglRR4+FttuEIFfu35EsqQpw07raKSc1Dk4saNDtBH7/vhNPmMjEn6Hl/sxMfLrfopdX3B8MCQ==
X-Timestamp: 2026-08-31T17:44:11+07:00
Content-Length: 669
Request Body:
{
  "partnerReferenceNo": "ERRRTGS260831104411d9ec5d",
  "amount": {
    "value": "100000002.00",
    "currency": "IDR"
  },
  "beneficiaryAccountNo": "1234567800",
  "sourceAccountNo": "1023651366",
  "transactionDate": "2026-08-31T17:44:11+07:00",
  "remark": "BSS RTGS self test",
  "additionalInfo": {
    "channel": "",
    "deviceId": "",
    "senderAddress": "Jakarta",
    "senderCityCode": "0394",
    "receiverCityCode": "0394"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"1",
  "beneficiaryAddress": "JAKARTA"
}
Response Body:
{
  "responseCode": "4092200",
  "responseMessage": "Conflict"
}</t>
  </si>
  <si>
    <t>5.6</t>
  </si>
  <si>
    <t>5.7</t>
  </si>
  <si>
    <t>URL Endpoint:
POST https://ob-sandbox.banksampoerna.co.id/snap/v1.2/account-inquiry-external
Header Request:
Content-Type: application/json
X-PARTNER-ID: svkl40g5jova83o723at1lpxr2lte2w3
X-SIGNATURE: fYYWcw8dX54xXGjP03YBWzwoSjxUl75EiORXfxTwzcIvirG7JyNM7yd2RPyTZ2fQPlTxLEmZnQp1LUY2zOluTQ==
X-TIMESTAMP: 2026-09-03T11:18:10+07:00
X-EXTERNAL-ID: BSSACCINQUIRY0260903143
CHANNEL-ID: API
Authorization: Bearer 8JC5u/ClrqPjhYDso4PwoKex57iV46y+8KiZouWlhPCnrpvri58=
Request Body:
{
    "partnerReferenceNo": "BSSACCINQUIRY0260903143",
    "beneficiaryBankCode": "014",
    "beneficiaryAccountNo": "1234567800",
    "additionalInfo": {
        "channel": "",
        "deviceId": "",
        "transferType": "ONLINE"
    }
}
Response Body:
{
    "responseCode": "2001600",
    "responseMessage": "Successful",
    "referenceNo": "552283      ",
    "partnerReferenceNo": "BSSACCINQUIRY0260903143",
    "beneficiaryBankCode": "014",
    "beneficiaryAccountNo": "1234567800",
    "beneficiaryAccountName": "NASABAH BCA RINTS",
    "additionalInfo": {}
}</t>
  </si>
  <si>
    <t>5.8</t>
  </si>
  <si>
    <t>RTGS Trigger Transfer</t>
  </si>
  <si>
    <t>5.9</t>
  </si>
  <si>
    <t>Transfer to Account via RTGS, with SWIFT code</t>
  </si>
  <si>
    <t>Response Code: 2002200
Response Message: "Successful"</t>
  </si>
  <si>
    <t>5.10</t>
  </si>
  <si>
    <t>Transfer to Account via RTGS, with bank code</t>
  </si>
  <si>
    <t>URL Endpoint:
POST https://ob-sandbox.banksampoerna.co.id/snap/v1.2/transfer-rtgs
Header Request:
Content-Type: application/json
X-PARTNER-ID: svkl40g5jova83o723at1lpxr2lte2w3
X-SIGNATURE: r+VHf++Dhzz8oXBkdYGkAtyzDe3rqiqznqE8DBefl0Xscal49FQ1bXMmi68/UQR1S5BfhIcbgI1xxTgZorrtcA==
X-TIMESTAMP: 2026-09-02T15:54:00+07:00
X-EXTERNAL-ID: BSSRTGS2026090299
CHANNEL-ID: API
Authorization: Bearer 8Kidm/CllrfwkoqN5Jmj8KmIkeKRsuaVhfChjpHTk/CovLs=
Request Body:
{
  "partnerReferenceNo": "BSSRTGS2026090299",
  "beneficiaryAccountNo": "1234567800",
  "beneficiaryAccountName": "NASABAH BCA RINTS",
  "beneficiaryBankCode": "014",
  "beneficiaryCustomerResidence": "1",
  "beneficiaryCustomerType": "1",
  "beneficiaryAddress": "JAKARTA",
  "sourceAccountNo": "1023651366",
  "transactionDate": "2026-09-02T15:54:00+07:00",
  "remark": "",
  "amount": {
    "value": "100000002.00",
    "currency": "IDR"
  },
  "additionalInfo": {
    "channel": "",
    "deviceId": "",
    "senderAddress": "Jakarta",
    "senderCityCode": "0394",
    "receiverCityCode": "0394"
  },
  "originatorInfos": [{
    "originatorCustomerNo": "1023651366",
    "originatorCustomerName": "PT Fintech Bina Bangsa",
    "originatorBankCode": "523"
  }]
}
Response Body:
{
    "responseCode": "2002200",
    "responseMessage": "Successful",
    "referenceNo": "BSS001549391",
    "partnerReferenceNo": "BSSRTGS2026090299",
    "sourceAccountNo": "1023651366",
    "beneficiaryBankCode": "014",
    "beneficiaryAccountNo": "1234567800",
    "beneficiaryAccountName": "NASABAH BCA RINTS",
    "transactionDate": "2026-09-02T15:54:00+07:00",
    "transactionStatus": "00",
    "amount": {
        "value": "100000002.00",
        "currency": "IDR"
    },
    "originatorInfos": [
        {
            "originatorCustomerNo": "1023651366",
            "originatorCustomerName": "PT Fintech Bina Bangsa",
            "originatorBankCode": "523"
        }
    ]
}</t>
  </si>
  <si>
    <t>5.11</t>
  </si>
  <si>
    <t>Error Code: 4032214
Error Message: "Insufficient Fund"</t>
  </si>
  <si>
    <t>URL Endpoint:
POST https://ob-sandbox.banksampoerna.co.id/snap/v1.2/transfer-rtgs
Header Request:
Content-Type: application/json
X-PARTNER-ID: svkl40g5jova83o723at1lpxr2lte2w3
X-SIGNATURE: PXZEiRvuaz7eAdHLcNaUQL56Ze1M2FffYL76WFpsMvxPO5a75feKiBvERS1XWfHYeZGnAJjVJvNO+dQ7gJkqmQ==
X-TIMESTAMP: 2026-09-01T18:18:26+07:00
X-EXTERNAL-ID: 80
CHANNEL-ID: API
Authorization: Bearer 8KSwpvCmra7woKu46bix8KOChfCqsb/kqIzwqZKd8KeakA==
Request Body:
{
  "partnerReferenceNo": "80",
  "beneficiaryAccountNo": "1234567800",
  "beneficiaryAccountName": "NASABAH BCA RINTS",
  "beneficiaryBankCode": "014",
  "beneficiaryCustomerResidence": "1",
  "beneficiaryCustomerType": "1",
  "beneficiaryAddress": "JAKARTA",
  "sourceAccountNo": "1023651366",
  "transactionDate": "2026-09-01T18:18:26+07:00",
  "remark": "",
  "amount": {
    "value": "100000002.00",
    "currency": "IDR"
  },
  "additionalInfo": {
    "channel": "",
    "deviceId": "",
    "senderAddress": "Jakarta",
    "senderCityCode": "0394",
    "receiverCityCode": "0394"
  },
  "originatorInfos": [{
    "originatorCustomerNo": "1023651366",
    "originatorCustomerName": "PT Fintech Bina Bangsa",
    "originatorBankCode": "523"
  }]
}
Response Body:
{
    "responseCode": "4032214",
    "responseMessage": "Insufficient Funds"
}</t>
  </si>
  <si>
    <t>5.12</t>
  </si>
  <si>
    <t>Error Code: 4092201
Error Message: "Duplicate Customer Reference Number"</t>
  </si>
  <si>
    <t>URL Endpoint:
POST https://ob-sandbox.banksampoerna.co.id/snap/v1.2/transfer-rtgs
Header Request:
Content-Type: application/json
X-PARTNER-ID: svkl40g5jova83o723at1lpxr2lte2w3
X-SIGNATURE: cLUhoOvz1sH1eZzMIkPbHhNwcJ/oq44cInL+VOfJEIAB6nkLCfjPZfHO9hCjFcV+WrDinn5ZXYhPVECAAghvjQ==
X-TIMESTAMP: 2026-09-02T15:55:19+07:00
X-EXTERNAL-ID: BSSRTGS20260902100
CHANNEL-ID: API
Authorization: Bearer 8Kidm/CllrfwkoqN5Jmj8KmIkeKRsuaVhfChjpHTk/CovLs=
Request Body:
{
  "partnerReferenceNo": "BSSRTGS2026090299",
  "beneficiaryAccountNo": "1234567800",
  "beneficiaryAccountName": "NASABAH BCA RINTS",
  "beneficiaryBankCode": "014",
  "beneficiaryCustomerResidence": "1",
  "beneficiaryCustomerType": "1",
  "beneficiaryAddress": "JAKARTA",
  "sourceAccountNo": "1023651366",
  "transactionDate": "2026-09-02T15:55:19+07:00",
  "remark": "",
  "amount": {
    "value": "100000002.00",
    "currency": "IDR"
  },
  "additionalInfo": {
    "channel": "",
    "deviceId": "",
    "senderAddress": "Jakarta",
    "senderCityCode": "0394",
    "receiverCityCode": "0394"
  },
  "originatorInfos": [{
    "originatorCustomerNo": "1023651366",
    "originatorCustomerName": "PT Fintech Bina Bangsa",
    "originatorBankCode": "523"
  }]
}
Response Body:
{
    "responseCode": "4092201",
    "responseMessage": "Duplicate Customer Reference Number"
}</t>
  </si>
  <si>
    <t>5.13</t>
  </si>
  <si>
    <t>Inquiry Status atas transaksi RTGS Transfer berhasil
Field "serviceCode" diisi dengan value "22"
Field "latestTransactionStatus" diisi dengan value "00"</t>
  </si>
  <si>
    <t>URL Endpoint:
POST https://ob-sandbox.banksampoerna.co.id/snap/v1.2/transfer/status
Header Request:
Content-Type: application/json
X-PARTNER-ID: svkl40g5jova83o723at1lpxr2lte2w3
X-SIGNATURE: 0nz3x5jerX9kc0AMIxRosDQfUvKjBTa+p7IWiod+uCml2TR+wQ4TiA2jfp+/Mzro0Y991xoHsuE8gyM/mXxomQ==
X-TIMESTAMP: 2026-09-02T15:56:41+07:00
X-EXTERNAL-ID: 7c56cccf-f11e-4e9a-bfcf-2dd1393422f9
CHANNEL-ID: API
Authorization: Bearer 8Kidm/CllrfwkoqN5Jmj8KmIkeKRsuaVhfChjpHTk/CovLs=
Request Body:
{
  "originalPartnerReferenceNo": "BSSRTGS2026090299",
  "serviceCode": "22",
  "transactionDate": "2026-09-02T15:54:00+07:00"
}
Response Body:
{
    "responseCode": "2003600",
    "responseMessage": "Successful",
    "originalReferenceNo": "BSS001549391",
    "originalPartnerReferenceNo": "BSSRTGS2026090299",
    "serviceCode": "22",
    "sourceAccountNo": "1023651366",
    "beneficiaryBankCode": "014",
    "beneficiaryAccountNo": "1234567800",
    "referenceNumber": "BSS001549391",
    "latestTransactionStatus": "00",
    "amount": {
        "value": "100000002.00",
        "currency": "IDR"
    }
}</t>
  </si>
  <si>
    <t>RTGS Notification</t>
  </si>
  <si>
    <t>5.14</t>
  </si>
  <si>
    <t>Notification for Successful Transaction
Field "latestTransactionStatus" diisi dengan value "00"</t>
  </si>
  <si>
    <t>Response Code: 2007600
Response Message: "Successful"</t>
  </si>
  <si>
    <t>Tidak dites karena tidak ada pengetesan RTGS Notification</t>
  </si>
  <si>
    <t>5.15</t>
  </si>
  <si>
    <t>Notification for Failed Transaction
Field "latestTransactionStatus" diisi dengan value "06"</t>
  </si>
  <si>
    <t>SKNBI Transfer</t>
  </si>
  <si>
    <t>6.1</t>
  </si>
  <si>
    <t>URL Endpoint:
POST https://ob-sandbox.banksampoerna.co.id/snap/v1.2/transfer-skn
Header Request:
Authorization: Bearer INVALID_TOKEN_FOR_ERROR_TEST
Channel-Id: 95051
Content-Type: application/json
X-External-Id: ERRSKN260831104406587382
X-Partner-Id: svkl40g5jova83o723at1lpxr2lte2w3
X-Signature: h7yzrTuj+saRo2OAldusSi3nUWj4FiDTrDXK1EgfOgedBKXFSERWr9eFHkJ/5Jp7e4jkqJqZqyGpopPi0rjjRQ==
X-Timestamp: 2026-08-31T17:44:06+07:00
Content-Length: 557
Request Body:
{
  "partnerReferenceNo": "ERRSKN260831104406587382",
  "amount": {
    "value": "100000.00",
    "currency": "IDR"
  },
  "beneficiaryAccountNo": "1234567800",
  "sourceAccountNo": "1023651366",
  "transactionDate": "2026-08-31T17:44:06+07:00",
  "remark": "BSS SKN self test",
  "additionalInfo": {
    "channel": "",
    "deviceId": ""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
}
Response Body:
{
  "responseCode": "4012301",
  "responseMessage": "Invalid token (B2B)"
}</t>
  </si>
  <si>
    <t>6.2</t>
  </si>
  <si>
    <t>URL Endpoint:
POST https://ob-sandbox.banksampoerna.co.id/snap/v1.2/transfer-skn
Header Request:
Authorization: Bearer 8Kiel+GSgPCjmLTwobi947OB8KaRquiCmeylnuaZiuu7sPCoiIo=
Channel-Id: 95051
Content-Type: application/json
X-External-Id: ERRSKN260831104407daf16c
X-Partner-Id: svkl40g5jova83o723at1lpxr2lte2w3
X-Signature: 4N+5qZztfD2O94JJJxnE8o+vWDwZvmR6CGC6ayTAR1pssOu31bEBP1FK+To2NjcPVxY0XOn8YQKx09CEwsis+A==aa
X-Timestamp: 2026-08-31T17:44:07+07:00
Content-Length: 557
Request Body:
{
  "partnerReferenceNo": "ERRSKN260831104407daf16c",
  "amount": {
    "value": "100000.00",
    "currency": "IDR"
  },
  "beneficiaryAccountNo": "1234567800",
  "sourceAccountNo": "1023651366",
  "transactionDate": "2026-08-31T17:44:07+07:00",
  "remark": "BSS SKN self test",
  "additionalInfo": {
    "channel": "",
    "deviceId": ""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
}
Response Body:
{
  "responseCode": "4012300",
  "responseMessage": "Unauthorized (Invalid Signature)"
}</t>
  </si>
  <si>
    <t>6.3</t>
  </si>
  <si>
    <t>URL Endpoint:
POST https://ob-sandbox.banksampoerna.co.id/snap/v1.2/transfer-skn
Header Request:
Authorization: Bearer 8Kiel+GSgPCjmLTwobi947OB8KaRquiCmeylnuaZiuu7sPCoiIo=
Channel-Id: 95051
Content-Type: application/json
X-External-Id: ERRSKN26083110440888e9a0
X-Partner-Id: svkl40g5jova83o723at1lpxr2lte2w3
X-Signature: Yt/tVBTGL7zf/KIO99RK73mfuQclBN4yxMlsU9HElXyYkndtO3lDZMlRboxQNPlzG1hxlRgwdHqbtSZVvbvJow==
X-Timestamp: 2026-08-31T17:44:08+07:00
Content-Length: 526
Request Body:
{
  "partnerReferenceNo": "ERRSKN26083110440888e9a0",
  "amount": {
    "value": "100000.00",
    "currency": "IDR"
  },
  "beneficiaryAccountNo": "1234567800",
  "transactionDate": "2026-08-31T17:44:08+07:00",
  "remark": "BSS SKN self test",
  "additionalInfo": {
    "channel": "",
    "deviceId": ""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
}
Response Body:
{
  "responseCode": "4002302",
  "responseMessage": "Invalid Mandatory Field sourceAccountNo"
}</t>
  </si>
  <si>
    <t>6.4</t>
  </si>
  <si>
    <t>URL Endpoint:
POST https://ob-sandbox.banksampoerna.co.id/snap/v1.2/transfer-skn
Header Request:
Authorization: Bearer 8Kiel+GSgPCjmLTwobi947OB8KaRquiCmeylnuaZiuu7sPCoiIo=
Channel-Id: 95051
Content-Type: application/json
X-External-Id: ERRSKN260831104409bf6204
X-Partner-Id: svkl40g5jova83o723at1lpxr2lte2w3
X-Signature: 4STAWQN/pipVb4UpxWMMmfLGzj8wSLpKenSdgOY1TRxLq0pfaXJphZ1lFdq0oRoelqzqDgoGkVX8V9GVIcUzfg==
X-Timestamp: 2026-08-31T17:44:09+07:00
Content-Length: 561
Request Body:
{
  "partnerReferenceNo": "ERRSKN260831104409bf6204",
  "amount": {
    "value": "100000.00",
    "currency": "IDR"
  },
  "beneficiaryAccountNo": "1234567800",
  "sourceAccountNo": "1023651366",
  "transactionDate": "2026-08-31T17:44:09+07:00AAAA",
  "remark": "BSS SKN self test",
  "additionalInfo": {
    "channel": "",
    "deviceId": ""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
}
Response Body:
{
  "responseCode": "4002301",
  "responseMessage": "Invalid Field Format transactionDate"
}</t>
  </si>
  <si>
    <t>6.5</t>
  </si>
  <si>
    <t>URL Endpoint:
POST https://ob-sandbox.banksampoerna.co.id/snap/v1.2/transfer-skn
Header Request:
Authorization: Bearer 8Kiel+GSgPCjmLTwobi947OB8KaRquiCmeylnuaZiuu7sPCoiIo=
Channel-Id: 95051
Content-Type: application/json
X-External-Id: BSSSKN26083107090154da1eff
X-Partner-Id: svkl40g5jova83o723at1lpxr2lte2w3
X-Signature: 5+exCh3Uzck0J3Zlasz6Gcp+h7kSkruUabgqwVJokjN5TyhvvkKwdmTuy1CbCt3+jfEmBUNJS3kKHSnXcknUzw==
X-Timestamp: 2026-08-31T17:44:10+07:00
Content-Length: 557
Request Body:
{
  "partnerReferenceNo": "ERRSKN260831104410b3f96a",
  "amount": {
    "value": "100000.00",
    "currency": "IDR"
  },
  "beneficiaryAccountNo": "1234567800",
  "sourceAccountNo": "1023651366",
  "transactionDate": "2026-08-31T17:44:10+07:00",
  "remark": "BSS SKN self test",
  "additionalInfo": {
    "channel": "",
    "deviceId": ""
  },
  "originatorInfos": [
    {
      "originatorCustomerNo": "1023651366",
      "originatorCustomerName": "PT Fintech Bina Bangsa",
      "originatorBankCode": "523"
    }
  ],
  "beneficiaryAccountName": "NASABAH BCA RINTS",
  "beneficiaryBankCode": "014",
  "beneficiaryCustomerResidence": "1",
  "beneficiaryCustomerType": "1"
}
Response Body:
{
  "responseCode": "4092300",
  "responseMessage": "Conflict"
}</t>
  </si>
  <si>
    <t>6.6</t>
  </si>
  <si>
    <t>6.7</t>
  </si>
  <si>
    <t>6.8</t>
  </si>
  <si>
    <t>SKN Trigger Transfer</t>
  </si>
  <si>
    <t>6.9</t>
  </si>
  <si>
    <t>Transfer to Account via SKN, with SWIFT code</t>
  </si>
  <si>
    <t>Response Code: 2002300
Response Message: "Successful"</t>
  </si>
  <si>
    <t>6.10</t>
  </si>
  <si>
    <t>Transfer to Account via SKN, with bank code</t>
  </si>
  <si>
    <t>URL Endpoint:
POST https://ob-sandbox.banksampoerna.co.id/snap/v1.2/transfer-skn
Header Request:
Content-Type: application/json
X-PARTNER-ID: svkl40g5jova83o723at1lpxr2lte2w3
X-SIGNATURE: h6YHsekiH4HEzdnRwXJyyXndLfNK/HF0L/P9XLVZOO6YGBOPINJIXn9PfP+B/Bg5ecV2szp6Gl6jdbrTg75b4A==
X-TIMESTAMP: 2026-09-02T15:58:22+07:00
X-EXTERNAL-ID: BSSSKN20260902104
CHANNEL-ID: API
Authorization: Bearer 4pim8KGWtfCih7Pst5fwp5an8KCdkPCTg7Hwo4GN6oWb5J6C
Request Body:
{
  "partnerReferenceNo": "BSSSKN20260902104",
  "beneficiaryAccountNo": "1234567800",
  "beneficiaryAccountName": "NASABAH BCA RINTS",
  "beneficiaryBankCode": "014",
  "beneficiaryCustomerResidence": "1",
  "beneficiaryCustomerType": "1",
  "sourceAccountNo": "1023651366",
  "transactionDate": "2026-09-02T15:58:22+07:00",
  "remark": "Test SKN",
  "amount": {
    "value": "100000.00",
    "currency": "IDR"
  },
  "additionalInfo": {
    "channel": "",
    "deviceId": ""
  },
  "originatorInfos": [{
    "originatorCustomerNo": "1023651366",
    "originatorCustomerName": "PT Fintech Bina Bangsa",
    "originatorBankCode": "523"
  }]
}
Response Body:
{
    "responseCode": "2002300",
    "responseMessage": "Successful",
    "referenceNo": "BSS001549419",
    "partnerReferenceNo": "BSSSKN20260902104",
    "sourceAccountNo": "1023651366",
    "beneficiaryBankCode": "014",
    "beneficiaryAccountNo": "1234567800",
    "beneficiaryAccountName": "NASABAH BCA RINTS",
    "transactionDate": "2026-09-02T15:58:22+07:00",
    "transactionStatus": "00",
    "amount": {
        "value": "100000.00",
        "currency": "IDR"
    },
    "originatorInfos": [
        {
            "originatorCustomerNo": "1023651366",
            "originatorCustomerName": "PT Fintech Bina Bangsa",
            "originatorBankCode": "523"
        }
    ]
}</t>
  </si>
  <si>
    <t>6.11</t>
  </si>
  <si>
    <t>Error Code: 4032314
Error Message: "Insufficient Fund"</t>
  </si>
  <si>
    <t>URL Endpoint:
POST https://ob-sandbox.banksampoerna.co.id/snap/v1.2/transfer-skn
Header Request:
Content-Type: application/json
X-PARTNER-ID: svkl40g5jova83o723at1lpxr2lte2w3
X-SIGNATURE: nP/ly0dSDrG7bE9/B2drVfyZk3fzIwUh570Jjfluog1t/kH91rhebpWUfM0TfUdUZJa5cMsBHFhrn3xzYBhYEw==
X-TIMESTAMP: 2026-09-04T13:31:21+07:00
X-EXTERNAL-ID: BSSSKN0260903172
CHANNEL-ID: API
Authorization: Bearer 4oGc8KGnpOyIkvCqvbPwqpKC5bqN5bCqyZbgvLTtirrwn5OK65eP
Request Body:
{
  "partnerReferenceNo": "BSSSKN0260903172",
  "beneficiaryAccountNo": "1234567800",
  "beneficiaryAccountName": "NASABAH BANK BCA DUMMY",
  "beneficiaryBankCode": "014",
  "beneficiaryCustomerResidence": "1",
  "beneficiaryCustomerType": "1",
  "sourceAccountNo": "1023651366",
  "transactionDate": "2026-09-04T13:31:21+07:00",
  "remark": "Test SKN",
  "amount": {
    "value": "60000000.00",
    "currency": "IDR"
  },
  "additionalInfo": {
    "channel": "",
    "deviceId": ""
  },
  "originatorInfos": [{
    "originatorCustomerNo": "1023651366",
    "originatorCustomerName": "PT Fintech Bina Bangsa",
    "originatorBankCode": "523"
  }]
}
Response Body:
{
    "responseCode": "4032314",
    "responseMessage": "Insufficient Funds"
}</t>
  </si>
  <si>
    <t>6.12</t>
  </si>
  <si>
    <t>Error Code: 4092301
Error Message: "Duplicate Customer Reference Number"</t>
  </si>
  <si>
    <t>URL Endpoint:
POST https://ob-sandbox.banksampoerna.co.id/snap/v1.2/transfer-skn
Header Request:
Content-Type: application/json
X-PARTNER-ID: svkl40g5jova83o723at1lpxr2lte2w3
X-SIGNATURE: NyxEeLW7CAh9GH3De27aABLVvIloD+UgzYj5jKW7wndqeGNl0bzFDvXgQw9QWM3A4nBDTkAkJLlK2etwBR0APA==
X-TIMESTAMP: 2026-09-02T16:01:25+07:00
X-EXTERNAL-ID: BSSSKN20260902105
CHANNEL-ID: API
Authorization: Bearer 4pim8KGWtfCih7Pst5fwp5an8KCdkPCTg7Hwo4GN6oWb5J6C
Request Body:
{
  "partnerReferenceNo": "BSSSKN20260902104",
  "beneficiaryAccountNo": "1234567800",
  "beneficiaryAccountName": "NASABAH BCA RINTS",
  "beneficiaryBankCode": "014",
  "beneficiaryCustomerResidence": "1",
  "beneficiaryCustomerType": "1",
  "sourceAccountNo": "1023651366",
  "transactionDate": "2026-09-02T16:01:25+07:00",
  "remark": "Test SKN",
  "amount": {
    "value": "100000.00",
    "currency": "IDR"
  },
  "additionalInfo": {
    "channel": "",
    "deviceId": ""
  },
  "originatorInfos": [{
    "originatorCustomerNo": "1023651366",
    "originatorCustomerName": "PT Fintech Bina Bangsa",
    "originatorBankCode": "523"
  }]
}
Response Body:
{
    "responseCode": "4092301",
    "responseMessage": "Duplicate Customer Reference Number"
}</t>
  </si>
  <si>
    <t>6.13</t>
  </si>
  <si>
    <t>Inquiry Status atas transaksi SKNBI Transfer berhasil
Field "serviceCode" diisi dengan value "23"
Field "latestTransactionStatus" diisi dengan value "00"</t>
  </si>
  <si>
    <t>URL Endpoint:
POST https://ob-sandbox.banksampoerna.co.id/snap/v1.2/transfer/status
Header Request:
Content-Type: application/json
X-PARTNER-ID: svkl40g5jova83o723at1lpxr2lte2w3
X-SIGNATURE: xrULfPglDLWuNuGHIudbuSqrWg/P0ztJepoUw6AQkKNih/Q3S+31LHPjMJtibjySqP1In1ow5cMkJrnvN50RKA==
X-TIMESTAMP: 2026-09-02T16:02:25+07:00
X-EXTERNAL-ID: 2a7c6a22-ae69-4a98-9858-37bd4f47b8bd
CHANNEL-ID: API
Authorization: Bearer 4pim8KGWtfCih7Pst5fwp5an8KCdkPCTg7Hwo4GN6oWb5J6C
Request Body:
{
  "originalPartnerReferenceNo": "BSSSKN20260902104",
  "serviceCode": "23",
  "transactionDate": "2026-09-02T16:01:25+07:00"
}
Response Body:
{
    "responseCode": "2003600",
    "responseMessage": "Successful",
    "originalReferenceNo": "BSS001549419",
    "originalPartnerReferenceNo": "BSSSKN20260902104",
    "serviceCode": "23",
    "sourceAccountNo": "1023651366",
    "beneficiaryBankCode": "014",
    "beneficiaryAccountNo": "1234567800",
    "referenceNumber": "BSS001549419",
    "latestTransactionStatus": "00",
    "amount": {
        "value": "100000.00",
        "currency": "IDR"
    }
}</t>
  </si>
  <si>
    <t>SKNBI Notification</t>
  </si>
  <si>
    <t>6.14</t>
  </si>
  <si>
    <t>Response Code: 2007500
Response Message: "Successful"</t>
  </si>
  <si>
    <t>Tidak dites karena tidak ada pengetesan SKNBI Notification</t>
  </si>
  <si>
    <t>6.15</t>
  </si>
  <si>
    <t>Transfer VA</t>
  </si>
  <si>
    <t>7.1</t>
  </si>
  <si>
    <t>7.2</t>
  </si>
  <si>
    <t>7.3</t>
  </si>
  <si>
    <t>7.4</t>
  </si>
  <si>
    <t>7.5</t>
  </si>
  <si>
    <t>Inquiry</t>
  </si>
  <si>
    <t>7.6</t>
  </si>
  <si>
    <t>Input no Virtual Account Valid</t>
  </si>
  <si>
    <t>Response Code: 2002400
Response Message: "Successful"</t>
  </si>
  <si>
    <t>7.7</t>
  </si>
  <si>
    <t>Input no Virtual Account Valid sudah lunas</t>
  </si>
  <si>
    <t>Error Code: 4042414
Error Message: "Bill has been paid"</t>
  </si>
  <si>
    <t>7.8</t>
  </si>
  <si>
    <t>Input no Virtual Account Valid kadaluarsa</t>
  </si>
  <si>
    <t>Error Code: 4042419
Error Message: "Bill expired"</t>
  </si>
  <si>
    <t>7.9</t>
  </si>
  <si>
    <t>Input no Virtual Account tidak terdaftar</t>
  </si>
  <si>
    <t>Error Code: 4042412
Error Message: "Bill not found"</t>
  </si>
  <si>
    <t>7.10</t>
  </si>
  <si>
    <t>Response Code: 2002500
Response Message: "Successful"</t>
  </si>
  <si>
    <t>7.11</t>
  </si>
  <si>
    <t>Error Code: 4042512
Error Message: "Bill not found"</t>
  </si>
  <si>
    <t>7.12</t>
  </si>
  <si>
    <t>Invalid Amount</t>
  </si>
  <si>
    <t>Error Code: 4042513
Error Message: "Invalid Amount"</t>
  </si>
  <si>
    <t>Inquiry Status VA</t>
  </si>
  <si>
    <t>7.13</t>
  </si>
  <si>
    <t>Inquiry Status for Payment Success</t>
  </si>
  <si>
    <t>Response Code: 2002600
Response Message: "Successful"</t>
  </si>
  <si>
    <t>Create VA</t>
  </si>
  <si>
    <t>7.14</t>
  </si>
  <si>
    <t>Membuat Virtual Account No</t>
  </si>
  <si>
    <t>Response Code: 2002700
Response Message: "Successful"</t>
  </si>
  <si>
    <t>7.15</t>
  </si>
  <si>
    <t>Create VA dengan tanggal kadaluarsa (expired date) di masa lalu</t>
  </si>
  <si>
    <t>Error Code: 4042711
Error Message: "Invalid Expiry Date"</t>
  </si>
  <si>
    <t>Update VA</t>
  </si>
  <si>
    <t>7.16</t>
  </si>
  <si>
    <t>Melakukan pengkinian Virtual Account No</t>
  </si>
  <si>
    <t>Response Code: 2002800
Response Message: "Successful"</t>
  </si>
  <si>
    <t>Update Status VA</t>
  </si>
  <si>
    <t>7.17</t>
  </si>
  <si>
    <t>Melakukan pengkinian status Virtual Account No</t>
  </si>
  <si>
    <t>Response Code: 2002900
Response Message: "Successful"</t>
  </si>
  <si>
    <t>Inquiry VA</t>
  </si>
  <si>
    <t>7.18</t>
  </si>
  <si>
    <t>Melakukan inquiry apakah Virtual Account No sudah berhasil dibuat</t>
  </si>
  <si>
    <t>Response Code: 2003000
Response Message: "Successful"</t>
  </si>
  <si>
    <t>Delete VA</t>
  </si>
  <si>
    <t>7.19</t>
  </si>
  <si>
    <t>Menghapus Virtual Account No</t>
  </si>
  <si>
    <t>Response Code: 2003100
Response Message: "Successful"</t>
  </si>
  <si>
    <t>Inquiry Partner A to PJP to Partner B</t>
  </si>
  <si>
    <t>7.20</t>
  </si>
  <si>
    <t>Response Code: 2003200
Response Message: "Successful"</t>
  </si>
  <si>
    <t>7.21</t>
  </si>
  <si>
    <t>Error Code: 4043214
Error Message: "Bill has been paid"</t>
  </si>
  <si>
    <t>7.22</t>
  </si>
  <si>
    <t>Error Code: 4043219
Error Message: "Bill expired"</t>
  </si>
  <si>
    <t>7.23</t>
  </si>
  <si>
    <t>Error Code: 4043212
Error Message: "Bill not found"</t>
  </si>
  <si>
    <t>7.24</t>
  </si>
  <si>
    <t>Timeout Partner A to PJP</t>
  </si>
  <si>
    <t>Error Code: 5043200
Error Message: "Request Timeout"</t>
  </si>
  <si>
    <t>7.25</t>
  </si>
  <si>
    <t>Timeout PJP to Partner B</t>
  </si>
  <si>
    <t>Payment Partner A to PJP to Partner B</t>
  </si>
  <si>
    <t>7.26</t>
  </si>
  <si>
    <t>Response Code: 2003300
Response Message: "Successful"</t>
  </si>
  <si>
    <t>7.27</t>
  </si>
  <si>
    <t>Error Code: 4043314
Error Message: "Bill has been paid"</t>
  </si>
  <si>
    <t>7.28</t>
  </si>
  <si>
    <t>Error Code: 4043319
Error Message: "Bill expired"</t>
  </si>
  <si>
    <t>7.29</t>
  </si>
  <si>
    <t>Error Code: 4043312
Error Message: "Bill not found"</t>
  </si>
  <si>
    <t>7.30</t>
  </si>
  <si>
    <t>Error Code: 5043300
Error Message: "Request Timeout"</t>
  </si>
  <si>
    <t>7.31</t>
  </si>
  <si>
    <t>Notification for Payment from Partner B</t>
  </si>
  <si>
    <t>7.32</t>
  </si>
  <si>
    <t>Notifikasi</t>
  </si>
  <si>
    <t>Response Code: 2003400
Response Message: "Successful"</t>
  </si>
  <si>
    <t>Get Report</t>
  </si>
  <si>
    <t>7.33</t>
  </si>
  <si>
    <t>Show Virtual Account Report</t>
  </si>
  <si>
    <t>Response Code: 2003500
Response Message: "Successful"</t>
  </si>
  <si>
    <t>7.34</t>
  </si>
  <si>
    <t>Inquiry Status</t>
  </si>
  <si>
    <t>Transfer VA Prima</t>
  </si>
  <si>
    <t>8.1</t>
  </si>
  <si>
    <t>Response Code: 2002400
Response Message: success</t>
  </si>
  <si>
    <t>8.2</t>
  </si>
  <si>
    <t>Saat hit API akan mendapatkan validasi gagal</t>
  </si>
  <si>
    <t>8.3</t>
  </si>
  <si>
    <t>8.4</t>
  </si>
  <si>
    <t>Payment VA</t>
  </si>
  <si>
    <t>8.5</t>
  </si>
  <si>
    <t>Response Code: 2002500
Response Message: "success"</t>
  </si>
  <si>
    <t>8.6</t>
  </si>
  <si>
    <t>8.7</t>
  </si>
  <si>
    <t>Transfer VA BI FAST</t>
  </si>
  <si>
    <t>9.1</t>
  </si>
  <si>
    <t>9.2</t>
  </si>
  <si>
    <t>9.3</t>
  </si>
  <si>
    <t>9.4</t>
  </si>
  <si>
    <t>9.5</t>
  </si>
  <si>
    <t>9.6</t>
  </si>
  <si>
    <t>9.7</t>
  </si>
  <si>
    <t>Cashback</t>
  </si>
  <si>
    <t>10.1</t>
  </si>
  <si>
    <t>Lakukan transaksi VA</t>
  </si>
  <si>
    <t>Transaksi berhasil dilakukan</t>
  </si>
  <si>
    <t>10.2</t>
  </si>
  <si>
    <t>Lakukan COB</t>
  </si>
  <si>
    <t>COB berhasil</t>
  </si>
  <si>
    <t>10.3</t>
  </si>
  <si>
    <t>Cek perhitungan cashback</t>
  </si>
  <si>
    <t>Perhitungan cashback sesuai</t>
  </si>
  <si>
    <t>Pengecekan Mutasi</t>
  </si>
  <si>
    <t>11.1</t>
  </si>
  <si>
    <t>Melakukan cek mutasi pada T24</t>
  </si>
  <si>
    <t>Transaksi yang ditampilkan sudah sesuai dengan data yang ada pada T24.</t>
  </si>
  <si>
    <t>Daily Report 4 Sheet</t>
  </si>
  <si>
    <t>Transaksi Daily Report (4 sheet)</t>
  </si>
  <si>
    <t>12.1</t>
  </si>
  <si>
    <t>Cek Transaksi Daily Report (4 sheet)</t>
  </si>
  <si>
    <t>Hasil Transaksi Daily Report (4 sheet) sesuai</t>
  </si>
  <si>
    <t>KET :</t>
  </si>
  <si>
    <t>Berhasil : Jika sesuai dengan hasil yang diharapkan</t>
  </si>
  <si>
    <t>Gagal : Jika tidak sesuai dengan hasil yang harapkan</t>
  </si>
  <si>
    <t>Siap dites : Jika terdapat update fixing dari vendor terkait bug</t>
  </si>
  <si>
    <t>Tidak dites : Jika diluar scope BRD/FSD dan juga tidak ada alat atau sistem pendukungnya</t>
  </si>
  <si>
    <t>Belum dites : Jika script belum saat dan waktunya dites</t>
  </si>
  <si>
    <t>Butuh Konfirmasi : Jika dalam melakukan pengetesan butuh konfirmasi user, vendor/programmer</t>
  </si>
  <si>
    <r>
      <rPr>
        <rFont val="Calibri"/>
        <b/>
        <i/>
        <color theme="1"/>
        <sz val="22.0"/>
      </rPr>
      <t xml:space="preserve">Pengembangan dan Pengadaan Teknologi Informasi 
User Acceptance Test Issue
</t>
    </r>
    <r>
      <rPr>
        <rFont val="Calibri"/>
        <b/>
        <i val="0"/>
        <color rgb="FF00B0F0"/>
        <sz val="22.0"/>
      </rPr>
      <t>&lt;Penambahan Layanan Virtual Account &amp; Fund Transfer Host to Host PT Integrasi Sinaptiq (Veloka/2C2P) (VA)&gt;</t>
    </r>
  </si>
  <si>
    <t>Remark</t>
  </si>
  <si>
    <t>Tanggal</t>
  </si>
  <si>
    <t>Jam</t>
  </si>
  <si>
    <t>Peserta</t>
  </si>
  <si>
    <t>PUK</t>
  </si>
  <si>
    <t>Unit Kerja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</si>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</sst>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\-yy"/>
    <numFmt numFmtId="165" formatCode="#,##0;[Red]#,##0"/>
    <numFmt numFmtId="166" formatCode="d\-mmm\-yy"/>
    <numFmt numFmtId="167" formatCode="#,##0.0;[Red]#,##0.0"/>
    <numFmt numFmtId="168" formatCode="d&quot; &quot;mmm&quot; &quot;yyyy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.0"/>
      <color theme="1"/>
      <name val="Calibri"/>
    </font>
    <font>
      <b/>
      <i/>
      <sz val="20.0"/>
      <color theme="1"/>
      <name val="Calibri"/>
    </font>
    <font/>
    <font>
      <b/>
      <sz val="18.0"/>
      <color theme="1"/>
      <name val="Calibri"/>
    </font>
    <font>
      <b/>
      <sz val="22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4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sz val="12.0"/>
      <color theme="1"/>
      <name val="Arial"/>
    </font>
    <font>
      <sz val="12.0"/>
      <color rgb="FF000000"/>
      <name val="Arial"/>
    </font>
    <font>
      <b/>
      <i/>
      <sz val="13.0"/>
      <color theme="1"/>
      <name val="Calibri"/>
    </font>
    <font>
      <sz val="11.0"/>
      <color theme="1"/>
      <name val="Cambria"/>
    </font>
    <font>
      <sz val="12.0"/>
      <color theme="1"/>
      <name val="Cambria"/>
    </font>
    <font>
      <b/>
      <i/>
      <sz val="12.0"/>
      <color theme="1"/>
      <name val="Calibri"/>
    </font>
    <font>
      <b/>
      <sz val="12.0"/>
      <color theme="1"/>
      <name val="Arial"/>
    </font>
    <font>
      <sz val="11.0"/>
      <color rgb="FF000000"/>
      <name val="Calibri"/>
    </font>
    <font>
      <sz val="12.0"/>
      <color rgb="FF000000"/>
      <name val="Calibri"/>
    </font>
    <font>
      <sz val="10.0"/>
      <color theme="1"/>
      <name val="Calibri"/>
    </font>
    <font>
      <b/>
      <i/>
      <sz val="22.0"/>
      <color theme="1"/>
      <name val="Calibri"/>
    </font>
    <font>
      <sz val="11.0"/>
      <color rgb="FF000000"/>
      <name val="Cambria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FFCCFF"/>
        <bgColor rgb="FFFFCCFF"/>
      </patternFill>
    </fill>
    <fill>
      <patternFill patternType="solid">
        <fgColor rgb="FF00FF99"/>
        <bgColor rgb="FF00FF99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FF9999"/>
        <bgColor rgb="FFFF9999"/>
      </patternFill>
    </fill>
    <fill>
      <patternFill patternType="solid">
        <fgColor rgb="FFCC99FF"/>
        <bgColor rgb="FFCC99FF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</fills>
  <borders count="42">
    <border/>
    <border>
      <left/>
      <right/>
      <top/>
      <bottom/>
    </border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thin">
        <color rgb="FF000000"/>
      </top>
    </border>
    <border>
      <top style="medium">
        <color rgb="FF000000"/>
      </top>
    </border>
    <border>
      <left/>
    </border>
    <border>
      <right/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/>
      <bottom/>
    </border>
    <border>
      <left style="thin">
        <color rgb="FF000000"/>
      </left>
    </border>
    <border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right/>
      <bottom/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/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2" xfId="0" applyAlignment="1" applyFont="1" applyNumberForma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2" fillId="2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vertical="center"/>
    </xf>
    <xf borderId="6" fillId="3" fontId="7" numFmtId="0" xfId="0" applyAlignment="1" applyBorder="1" applyFill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7" fillId="0" fontId="1" numFmtId="0" xfId="0" applyBorder="1" applyFont="1"/>
    <xf borderId="11" fillId="0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1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8" numFmtId="0" xfId="0" applyAlignment="1" applyBorder="1" applyFont="1">
      <alignment horizontal="center" shrinkToFit="0" vertical="center" wrapText="1"/>
    </xf>
    <xf borderId="19" fillId="0" fontId="5" numFmtId="0" xfId="0" applyBorder="1" applyFont="1"/>
    <xf borderId="20" fillId="0" fontId="5" numFmtId="0" xfId="0" applyBorder="1" applyFont="1"/>
    <xf borderId="1" fillId="2" fontId="10" numFmtId="0" xfId="0" applyAlignment="1" applyBorder="1" applyFill="1" applyFont="1">
      <alignment shrinkToFit="0" vertical="center" wrapText="1"/>
    </xf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1" fillId="2" fontId="11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1" fillId="2" fontId="8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24" fillId="0" fontId="9" numFmtId="0" xfId="0" applyAlignment="1" applyBorder="1" applyFont="1">
      <alignment horizontal="center" vertical="center"/>
    </xf>
    <xf borderId="1" fillId="2" fontId="8" numFmtId="0" xfId="0" applyAlignment="1" applyBorder="1" applyFill="1" applyFont="1">
      <alignment horizontal="left" shrinkToFit="0" vertical="center" wrapText="1"/>
    </xf>
    <xf borderId="25" fillId="4" fontId="13" numFmtId="0" xfId="0" applyAlignment="1" applyBorder="1" applyFill="1" applyFont="1">
      <alignment horizontal="left" shrinkToFit="0" vertical="center" wrapText="1"/>
    </xf>
    <xf borderId="26" fillId="0" fontId="5" numFmtId="0" xfId="0" applyBorder="1" applyFont="1"/>
    <xf borderId="27" fillId="0" fontId="5" numFmtId="0" xfId="0" applyBorder="1" applyFont="1"/>
    <xf borderId="1" fillId="2" fontId="3" numFmtId="0" xfId="0" applyAlignment="1" applyBorder="1" applyFill="1" applyFont="1">
      <alignment horizontal="center" vertical="center"/>
    </xf>
    <xf borderId="28" fillId="5" fontId="13" numFmtId="0" xfId="0" applyAlignment="1" applyBorder="1" applyFill="1" applyFont="1">
      <alignment horizontal="center" shrinkToFit="0" vertical="center" wrapText="1"/>
    </xf>
    <xf borderId="25" fillId="0" fontId="13" numFmtId="0" xfId="0" applyAlignment="1" applyBorder="1" applyFont="1">
      <alignment horizontal="left" shrinkToFit="0" vertical="center" wrapText="1"/>
    </xf>
    <xf borderId="29" fillId="0" fontId="5" numFmtId="0" xfId="0" applyBorder="1" applyFont="1"/>
    <xf borderId="22" fillId="0" fontId="1" numFmtId="0" xfId="0" applyBorder="1" applyFont="1"/>
    <xf borderId="0" fillId="0" fontId="13" numFmtId="0" xfId="0" applyAlignment="1" applyFont="1">
      <alignment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28" fillId="6" fontId="1" numFmtId="0" xfId="0" applyBorder="1" applyFill="1" applyFont="1"/>
    <xf borderId="25" fillId="0" fontId="12" numFmtId="0" xfId="0" applyAlignment="1" applyBorder="1" applyFont="1">
      <alignment horizontal="left" vertical="center"/>
    </xf>
    <xf borderId="0" fillId="0" fontId="14" numFmtId="0" xfId="0" applyAlignment="1" applyFont="1">
      <alignment horizontal="center" shrinkToFit="0" wrapText="1"/>
    </xf>
    <xf borderId="1" fillId="2" fontId="12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30" fillId="4" fontId="14" numFmtId="0" xfId="0" applyAlignment="1" applyBorder="1" applyFill="1" applyFont="1">
      <alignment horizontal="left" shrinkToFit="0" vertical="center" wrapText="1"/>
    </xf>
    <xf borderId="25" fillId="7" fontId="15" numFmtId="0" xfId="0" applyAlignment="1" applyBorder="1" applyFill="1" applyFont="1">
      <alignment horizontal="left" shrinkToFit="0" vertical="center" wrapText="1"/>
    </xf>
    <xf borderId="25" fillId="0" fontId="12" numFmtId="164" xfId="0" applyAlignment="1" applyBorder="1" applyFont="1" applyNumberFormat="1">
      <alignment horizontal="left" shrinkToFit="0" vertical="center" wrapText="1"/>
    </xf>
    <xf borderId="28" fillId="0" fontId="14" numFmtId="0" xfId="0" applyAlignment="1" applyBorder="1" applyFont="1">
      <alignment shrinkToFit="0" vertical="center" wrapText="1"/>
    </xf>
    <xf borderId="31" fillId="0" fontId="5" numFmtId="0" xfId="0" applyBorder="1" applyFont="1"/>
    <xf borderId="32" fillId="7" fontId="14" numFmtId="0" xfId="0" applyAlignment="1" applyBorder="1" applyFill="1" applyFont="1">
      <alignment shrinkToFit="0" vertical="center" wrapText="1"/>
    </xf>
    <xf borderId="24" fillId="4" fontId="14" numFmtId="0" xfId="0" applyAlignment="1" applyBorder="1" applyFill="1" applyFont="1">
      <alignment horizontal="left" shrinkToFit="0" vertical="center" wrapText="1"/>
    </xf>
    <xf borderId="33" fillId="7" fontId="14" numFmtId="0" xfId="0" applyAlignment="1" applyBorder="1" applyFill="1" applyFont="1">
      <alignment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8" fillId="6" fontId="9" numFmtId="0" xfId="0" applyAlignment="1" applyBorder="1" applyFill="1" applyFont="1">
      <alignment horizontal="center"/>
    </xf>
    <xf borderId="25" fillId="0" fontId="12" numFmtId="15" xfId="0" applyAlignment="1" applyBorder="1" applyFont="1" applyNumberFormat="1">
      <alignment horizontal="left" shrinkToFit="0" vertical="center" wrapText="1"/>
    </xf>
    <xf borderId="28" fillId="0" fontId="16" numFmtId="0" xfId="0" applyAlignment="1" applyBorder="1" applyFont="1">
      <alignment horizontal="left" shrinkToFit="0" vertical="center" wrapText="1"/>
    </xf>
    <xf borderId="24" fillId="0" fontId="14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vertical="center"/>
    </xf>
    <xf borderId="28" fillId="0" fontId="16" numFmtId="0" xfId="0" applyAlignment="1" applyBorder="1" applyFont="1">
      <alignment horizontal="center" shrinkToFit="0" vertical="center" wrapText="1"/>
    </xf>
    <xf borderId="0" fillId="0" fontId="12" numFmtId="164" xfId="0" applyAlignment="1" applyFont="1" applyNumberFormat="1">
      <alignment vertical="center"/>
    </xf>
    <xf borderId="28" fillId="6" fontId="9" numFmtId="10" xfId="0" applyAlignment="1" applyBorder="1" applyFill="1" applyFont="1" applyNumberFormat="1">
      <alignment horizontal="center"/>
    </xf>
    <xf borderId="0" fillId="0" fontId="12" numFmtId="2" xfId="0" applyAlignment="1" applyFont="1" applyNumberFormat="1">
      <alignment vertical="center"/>
    </xf>
    <xf borderId="0" fillId="0" fontId="1" numFmtId="10" xfId="0" applyFont="1" applyNumberFormat="1"/>
    <xf borderId="34" fillId="2" fontId="14" numFmtId="0" xfId="0" applyAlignment="1" applyBorder="1" applyFill="1" applyFont="1">
      <alignment shrinkToFit="0" vertical="center" wrapText="1"/>
    </xf>
    <xf borderId="23" fillId="0" fontId="17" numFmtId="49" xfId="0" applyAlignment="1" applyBorder="1" applyFont="1" applyNumberFormat="1">
      <alignment horizontal="center" shrinkToFit="1" vertical="center" wrapText="0"/>
    </xf>
    <xf borderId="34" fillId="2" fontId="2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vertical="center"/>
    </xf>
    <xf borderId="1" fillId="2" fontId="14" numFmtId="0" xfId="0" applyAlignment="1" applyBorder="1" applyFill="1" applyFont="1">
      <alignment horizontal="center" shrinkToFit="0" wrapText="1"/>
    </xf>
    <xf borderId="28" fillId="8" fontId="1" numFmtId="0" xfId="0" applyBorder="1" applyFill="1" applyFont="1"/>
    <xf borderId="0" fillId="0" fontId="12" numFmtId="0" xfId="0" applyAlignment="1" applyFont="1">
      <alignment shrinkToFit="0" vertical="center" wrapText="1"/>
    </xf>
    <xf borderId="28" fillId="0" fontId="2" numFmtId="0" xfId="0" applyAlignment="1" applyBorder="1" applyFont="1">
      <alignment horizontal="center" shrinkToFit="0" vertical="center" wrapText="1"/>
    </xf>
    <xf borderId="35" fillId="4" fontId="13" numFmtId="0" xfId="0" applyAlignment="1" applyBorder="1" applyFill="1" applyFont="1">
      <alignment horizontal="center" shrinkToFit="0" vertical="center" wrapText="1"/>
    </xf>
    <xf borderId="28" fillId="2" fontId="14" numFmtId="0" xfId="0" applyAlignment="1" applyBorder="1" applyFill="1" applyFont="1">
      <alignment horizontal="left" shrinkToFit="0" vertical="center" wrapText="1"/>
    </xf>
    <xf borderId="28" fillId="8" fontId="9" numFmtId="0" xfId="0" applyAlignment="1" applyBorder="1" applyFill="1" applyFont="1">
      <alignment horizontal="center"/>
    </xf>
    <xf borderId="28" fillId="4" fontId="13" numFmtId="0" xfId="0" applyAlignment="1" applyBorder="1" applyFill="1" applyFont="1">
      <alignment horizontal="center" shrinkToFit="0" vertical="center" wrapText="1"/>
    </xf>
    <xf borderId="36" fillId="0" fontId="5" numFmtId="0" xfId="0" applyBorder="1" applyFont="1"/>
    <xf borderId="35" fillId="4" fontId="18" numFmtId="0" xfId="0" applyAlignment="1" applyBorder="1" applyFill="1" applyFont="1">
      <alignment horizontal="center" shrinkToFit="0" vertical="center" wrapText="1"/>
    </xf>
    <xf borderId="28" fillId="8" fontId="9" numFmtId="10" xfId="0" applyAlignment="1" applyBorder="1" applyFill="1" applyFont="1" applyNumberFormat="1">
      <alignment horizontal="center"/>
    </xf>
    <xf borderId="37" fillId="0" fontId="19" numFmtId="0" xfId="0" applyAlignment="1" applyBorder="1" applyFont="1">
      <alignment horizontal="center" shrinkToFit="0" vertical="center" wrapText="1"/>
    </xf>
    <xf borderId="35" fillId="4" fontId="13" numFmtId="164" xfId="0" applyAlignment="1" applyBorder="1" applyFill="1" applyFont="1" applyNumberFormat="1">
      <alignment horizontal="center" shrinkToFit="0" vertical="center" wrapText="1"/>
    </xf>
    <xf borderId="28" fillId="0" fontId="2" numFmtId="164" xfId="0" applyAlignment="1" applyBorder="1" applyFont="1" applyNumberFormat="1">
      <alignment horizontal="center" shrinkToFit="0" vertical="center" wrapText="1"/>
    </xf>
    <xf borderId="28" fillId="0" fontId="2" numFmtId="15" xfId="0" applyAlignment="1" applyBorder="1" applyFont="1" applyNumberFormat="1">
      <alignment shrinkToFit="0" vertical="center" wrapText="1"/>
    </xf>
    <xf borderId="0" fillId="0" fontId="2" numFmtId="0" xfId="0" applyAlignment="1" applyFont="1">
      <alignment horizontal="center" shrinkToFit="0" wrapText="1"/>
    </xf>
    <xf borderId="28" fillId="9" fontId="1" numFmtId="0" xfId="0" applyBorder="1" applyFill="1" applyFont="1"/>
    <xf borderId="35" fillId="10" fontId="13" numFmtId="2" xfId="0" applyAlignment="1" applyBorder="1" applyFill="1" applyFont="1" applyNumberFormat="1">
      <alignment horizontal="center" shrinkToFit="0" vertical="center" wrapText="1"/>
    </xf>
    <xf borderId="28" fillId="9" fontId="9" numFmtId="0" xfId="0" applyAlignment="1" applyBorder="1" applyFill="1" applyFont="1">
      <alignment horizontal="center"/>
    </xf>
    <xf borderId="27" fillId="0" fontId="1" numFmtId="0" xfId="0" applyAlignment="1" applyBorder="1" applyFont="1">
      <alignment horizontal="center" shrinkToFit="0" vertical="top" wrapText="1"/>
    </xf>
    <xf borderId="28" fillId="0" fontId="2" numFmtId="0" xfId="0" applyAlignment="1" applyBorder="1" applyFont="1">
      <alignment horizontal="center" vertical="center"/>
    </xf>
    <xf borderId="28" fillId="9" fontId="9" numFmtId="10" xfId="0" applyAlignment="1" applyBorder="1" applyFill="1" applyFont="1" applyNumberFormat="1">
      <alignment horizontal="center"/>
    </xf>
    <xf borderId="28" fillId="0" fontId="2" numFmtId="0" xfId="0" applyAlignment="1" applyBorder="1" applyFont="1">
      <alignment shrinkToFit="0" vertical="center" wrapText="1"/>
    </xf>
    <xf borderId="28" fillId="11" fontId="1" numFmtId="0" xfId="0" applyBorder="1" applyFill="1" applyFont="1"/>
    <xf borderId="24" fillId="4" fontId="14" numFmtId="0" xfId="0" applyAlignment="1" applyBorder="1" applyFill="1" applyFont="1">
      <alignment horizontal="center" shrinkToFit="0" vertical="center" wrapText="1"/>
    </xf>
    <xf borderId="38" fillId="4" fontId="14" numFmtId="0" xfId="0" applyAlignment="1" applyBorder="1" applyFill="1" applyFont="1">
      <alignment horizontal="left" shrinkToFit="0" vertical="center" wrapText="1"/>
    </xf>
    <xf borderId="28" fillId="11" fontId="9" numFmtId="0" xfId="0" applyAlignment="1" applyBorder="1" applyFill="1" applyFont="1">
      <alignment horizontal="center"/>
    </xf>
    <xf borderId="35" fillId="2" fontId="14" numFmtId="0" xfId="0" applyAlignment="1" applyBorder="1" applyFill="1" applyFont="1">
      <alignment horizontal="left" shrinkToFit="0" vertical="center" wrapText="1"/>
    </xf>
    <xf borderId="28" fillId="11" fontId="9" numFmtId="10" xfId="0" applyAlignment="1" applyBorder="1" applyFill="1" applyFont="1" applyNumberFormat="1">
      <alignment horizontal="center"/>
    </xf>
    <xf borderId="28" fillId="0" fontId="16" numFmtId="0" xfId="0" applyAlignment="1" applyBorder="1" applyFont="1">
      <alignment shrinkToFit="0" vertical="center" wrapText="1"/>
    </xf>
    <xf borderId="24" fillId="0" fontId="2" numFmtId="15" xfId="0" applyAlignment="1" applyBorder="1" applyFont="1" applyNumberFormat="1">
      <alignment horizontal="center" shrinkToFit="0" vertical="center" wrapText="1"/>
    </xf>
    <xf borderId="1" fillId="2" fontId="14" numFmtId="0" xfId="0" applyAlignment="1" applyBorder="1" applyFill="1" applyFont="1">
      <alignment horizontal="left" shrinkToFit="0" vertical="center" wrapText="1"/>
    </xf>
    <xf borderId="28" fillId="0" fontId="2" numFmtId="1" xfId="0" applyAlignment="1" applyBorder="1" applyFont="1" applyNumberFormat="1">
      <alignment horizontal="center" shrinkToFit="0" vertical="center" wrapText="1"/>
    </xf>
    <xf borderId="28" fillId="12" fontId="1" numFmtId="0" xfId="0" applyBorder="1" applyFill="1" applyFont="1"/>
    <xf borderId="0" fillId="0" fontId="2" numFmtId="0" xfId="0" applyAlignment="1" applyFont="1">
      <alignment horizontal="center" shrinkToFit="0" vertical="center" wrapText="1"/>
    </xf>
    <xf borderId="39" fillId="0" fontId="16" numFmtId="0" xfId="0" applyAlignment="1" applyBorder="1" applyFont="1">
      <alignment horizontal="center" shrinkToFit="0" vertical="center" wrapText="1"/>
    </xf>
    <xf borderId="34" fillId="2" fontId="14" numFmtId="0" xfId="0" applyAlignment="1" applyBorder="1" applyFill="1" applyFont="1">
      <alignment horizontal="left" shrinkToFit="0" vertical="center" wrapText="1"/>
    </xf>
    <xf borderId="28" fillId="12" fontId="9" numFmtId="0" xfId="0" applyAlignment="1" applyBorder="1" applyFill="1" applyFont="1">
      <alignment horizontal="center"/>
    </xf>
    <xf borderId="27" fillId="0" fontId="20" numFmtId="0" xfId="0" applyAlignment="1" applyBorder="1" applyFont="1">
      <alignment horizontal="center" shrinkToFit="0" vertical="center" wrapText="1"/>
    </xf>
    <xf borderId="34" fillId="2" fontId="14" numFmtId="0" xfId="0" applyAlignment="1" applyBorder="1" applyFill="1" applyFont="1">
      <alignment horizontal="center" shrinkToFit="0" wrapText="1"/>
    </xf>
    <xf borderId="1" fillId="2" fontId="14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14" numFmtId="0" xfId="0" applyAlignment="1" applyBorder="1" applyFill="1" applyFont="1">
      <alignment shrinkToFit="0" wrapText="1"/>
    </xf>
    <xf borderId="28" fillId="12" fontId="9" numFmtId="10" xfId="0" applyAlignment="1" applyBorder="1" applyFill="1" applyFont="1" applyNumberFormat="1">
      <alignment horizontal="center"/>
    </xf>
    <xf borderId="24" fillId="0" fontId="16" numFmtId="0" xfId="0" applyAlignment="1" applyBorder="1" applyFont="1">
      <alignment horizontal="left" shrinkToFit="0" vertical="center" wrapText="1"/>
    </xf>
    <xf borderId="28" fillId="13" fontId="1" numFmtId="0" xfId="0" applyBorder="1" applyFill="1" applyFont="1"/>
    <xf borderId="22" fillId="0" fontId="17" numFmtId="49" xfId="0" applyAlignment="1" applyBorder="1" applyFont="1" applyNumberFormat="1">
      <alignment horizontal="center" shrinkToFit="1" vertical="center" wrapText="0"/>
    </xf>
    <xf borderId="28" fillId="13" fontId="9" numFmtId="0" xfId="0" applyAlignment="1" applyBorder="1" applyFill="1" applyFont="1">
      <alignment horizontal="center"/>
    </xf>
    <xf borderId="28" fillId="13" fontId="9" numFmtId="10" xfId="0" applyAlignment="1" applyBorder="1" applyFill="1" applyFont="1" applyNumberFormat="1">
      <alignment horizontal="center"/>
    </xf>
    <xf borderId="5" fillId="0" fontId="16" numFmtId="0" xfId="0" applyAlignment="1" applyBorder="1" applyFont="1">
      <alignment horizontal="left" shrinkToFit="0" vertical="center" wrapText="1"/>
    </xf>
    <xf borderId="40" fillId="5" fontId="14" numFmtId="0" xfId="0" applyAlignment="1" applyBorder="1" applyFill="1" applyFont="1">
      <alignment horizontal="center" shrinkToFit="0" vertical="center" wrapText="1"/>
    </xf>
    <xf borderId="40" fillId="5" fontId="21" numFmtId="0" xfId="0" applyAlignment="1" applyBorder="1" applyFill="1" applyFont="1">
      <alignment horizontal="center" shrinkToFit="0" vertical="center" wrapText="1"/>
    </xf>
    <xf borderId="28" fillId="2" fontId="9" numFmtId="0" xfId="0" applyBorder="1" applyFill="1" applyFont="1"/>
    <xf borderId="25" fillId="14" fontId="14" numFmtId="0" xfId="0" applyAlignment="1" applyBorder="1" applyFill="1" applyFont="1">
      <alignment horizontal="left" shrinkToFit="0" vertical="center" wrapText="1"/>
    </xf>
    <xf borderId="28" fillId="0" fontId="9" numFmtId="0" xfId="0" applyAlignment="1" applyBorder="1" applyFont="1">
      <alignment horizontal="center"/>
    </xf>
    <xf borderId="28" fillId="14" fontId="14" numFmtId="0" xfId="0" applyAlignment="1" applyBorder="1" applyFill="1" applyFont="1">
      <alignment horizontal="center" shrinkToFit="0" vertical="center" wrapText="1"/>
    </xf>
    <xf borderId="28" fillId="14" fontId="14" numFmtId="0" xfId="0" applyAlignment="1" applyBorder="1" applyFill="1" applyFont="1">
      <alignment horizontal="left" shrinkToFit="0" vertical="center" wrapText="1"/>
    </xf>
    <xf borderId="28" fillId="0" fontId="9" numFmtId="9" xfId="0" applyAlignment="1" applyBorder="1" applyFont="1" applyNumberFormat="1">
      <alignment horizontal="center"/>
    </xf>
    <xf borderId="1" fillId="2" fontId="2" numFmtId="0" xfId="0" applyAlignment="1" applyBorder="1" applyFill="1" applyFont="1">
      <alignment horizontal="center" vertical="center"/>
    </xf>
    <xf borderId="28" fillId="14" fontId="21" numFmtId="0" xfId="0" applyAlignment="1" applyBorder="1" applyFill="1" applyFont="1">
      <alignment horizontal="left" shrinkToFit="0" vertical="center" wrapText="1"/>
    </xf>
    <xf borderId="0" fillId="0" fontId="17" numFmtId="49" xfId="0" applyAlignment="1" applyFont="1" applyNumberFormat="1">
      <alignment horizontal="center" shrinkToFit="1" vertical="center" wrapText="0"/>
    </xf>
    <xf borderId="0" fillId="0" fontId="2" numFmtId="0" xfId="0" applyAlignment="1" applyFont="1">
      <alignment shrinkToFit="0" vertical="center" wrapText="1"/>
    </xf>
    <xf borderId="28" fillId="10" fontId="9" numFmtId="0" xfId="0" applyAlignment="1" applyBorder="1" applyFill="1" applyFont="1">
      <alignment horizontal="left"/>
    </xf>
    <xf borderId="11" fillId="0" fontId="17" numFmtId="49" xfId="0" applyAlignment="1" applyBorder="1" applyFont="1" applyNumberFormat="1">
      <alignment horizontal="center" shrinkToFit="1" vertical="center" wrapText="0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41" fillId="0" fontId="22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horizontal="center" shrinkToFit="0" vertical="center" wrapText="1"/>
    </xf>
    <xf borderId="41" fillId="0" fontId="16" numFmtId="0" xfId="0" applyAlignment="1" applyBorder="1" applyFont="1">
      <alignment horizontal="left" shrinkToFit="0" vertical="center" wrapText="1"/>
    </xf>
    <xf borderId="25" fillId="10" fontId="9" numFmtId="10" xfId="0" applyAlignment="1" applyBorder="1" applyFill="1" applyFont="1" applyNumberFormat="1">
      <alignment horizontal="center" shrinkToFit="0" wrapText="1"/>
    </xf>
    <xf borderId="28" fillId="0" fontId="2" numFmtId="0" xfId="0" applyAlignment="1" applyBorder="1" applyFont="1">
      <alignment horizontal="left" shrinkToFit="0" vertical="center" wrapText="1"/>
    </xf>
    <xf borderId="28" fillId="0" fontId="1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0" fillId="0" fontId="1" numFmtId="0" xfId="0" applyAlignment="1" applyFont="1">
      <alignment horizontal="center"/>
    </xf>
    <xf borderId="28" fillId="0" fontId="17" numFmtId="49" xfId="0" applyAlignment="1" applyBorder="1" applyFont="1" applyNumberFormat="1">
      <alignment horizontal="center" shrinkToFit="1" vertical="center" wrapText="0"/>
    </xf>
    <xf borderId="28" fillId="0" fontId="2" numFmtId="165" xfId="0" applyAlignment="1" applyBorder="1" applyFont="1" applyNumberFormat="1">
      <alignment horizontal="center" shrinkToFit="0" vertical="center" wrapText="1"/>
    </xf>
    <xf borderId="28" fillId="2" fontId="2" numFmtId="0" xfId="0" applyAlignment="1" applyBorder="1" applyFill="1" applyFont="1">
      <alignment horizontal="left" shrinkToFit="0" vertical="center" wrapText="1"/>
    </xf>
    <xf borderId="28" fillId="0" fontId="2" numFmtId="0" xfId="0" applyAlignment="1" applyBorder="1" applyFont="1">
      <alignment horizontal="center" readingOrder="0" shrinkToFit="0" vertical="center" wrapText="1"/>
    </xf>
    <xf borderId="28" fillId="0" fontId="23" numFmtId="0" xfId="0" applyAlignment="1" applyBorder="1" applyFont="1">
      <alignment horizontal="left" readingOrder="0" shrinkToFit="0" wrapText="1"/>
    </xf>
    <xf borderId="27" fillId="0" fontId="23" numFmtId="166" xfId="0" applyAlignment="1" applyBorder="1" applyFont="1" applyNumberFormat="1">
      <alignment horizontal="center" readingOrder="0" vertical="center"/>
    </xf>
    <xf borderId="28" fillId="2" fontId="2" numFmtId="0" xfId="0" applyAlignment="1" applyBorder="1" applyFill="1" applyFont="1">
      <alignment horizontal="center" shrinkToFit="0" vertical="center" wrapText="1"/>
    </xf>
    <xf borderId="28" fillId="0" fontId="23" numFmtId="0" xfId="0" applyAlignment="1" applyBorder="1" applyFont="1">
      <alignment horizontal="center" vertical="center"/>
    </xf>
    <xf borderId="28" fillId="2" fontId="24" numFmtId="0" xfId="0" applyAlignment="1" applyBorder="1" applyFill="1" applyFont="1">
      <alignment horizontal="left" shrinkToFit="0" vertical="center" wrapText="1"/>
    </xf>
    <xf borderId="28" fillId="0" fontId="24" numFmtId="0" xfId="0" applyAlignment="1" applyBorder="1" applyFont="1">
      <alignment horizontal="left" shrinkToFit="0" vertical="center" wrapText="1"/>
    </xf>
    <xf borderId="28" fillId="0" fontId="23" numFmtId="0" xfId="0" applyAlignment="1" applyBorder="1" applyFont="1">
      <alignment horizontal="left" readingOrder="0" shrinkToFit="0" wrapText="1"/>
    </xf>
    <xf borderId="1" fillId="2" fontId="14" numFmtId="0" xfId="0" applyAlignment="1" applyBorder="1" applyFill="1" applyFont="1">
      <alignment horizontal="center" shrinkToFit="0" vertical="center" wrapText="1"/>
    </xf>
    <xf borderId="33" fillId="15" fontId="1" numFmtId="0" xfId="0" applyAlignment="1" applyBorder="1" applyFill="1" applyFont="1">
      <alignment horizontal="left" shrinkToFit="0" vertical="center" wrapText="1"/>
    </xf>
    <xf borderId="27" fillId="0" fontId="23" numFmtId="166" xfId="0" applyAlignment="1" applyBorder="1" applyFont="1" applyNumberFormat="1">
      <alignment horizontal="center" vertical="center"/>
    </xf>
    <xf borderId="28" fillId="14" fontId="2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15" fontId="1" numFmtId="0" xfId="0" applyFill="1" applyFont="1"/>
    <xf borderId="28" fillId="15" fontId="2" numFmtId="0" xfId="0" applyAlignment="1" applyBorder="1" applyFill="1" applyFont="1">
      <alignment horizontal="left" shrinkToFit="0" vertical="center" wrapText="1"/>
    </xf>
    <xf borderId="28" fillId="15" fontId="1" numFmtId="0" xfId="0" applyAlignment="1" applyBorder="1" applyFill="1" applyFont="1">
      <alignment horizontal="center" vertical="center"/>
    </xf>
    <xf borderId="28" fillId="15" fontId="2" numFmtId="0" xfId="0" applyAlignment="1" applyBorder="1" applyFill="1" applyFont="1">
      <alignment horizontal="center" shrinkToFit="0" vertical="center" wrapText="1"/>
    </xf>
    <xf borderId="28" fillId="15" fontId="2" numFmtId="165" xfId="0" applyAlignment="1" applyBorder="1" applyFill="1" applyFont="1" applyNumberFormat="1">
      <alignment horizontal="center" shrinkToFit="0" vertical="center" wrapText="1"/>
    </xf>
    <xf borderId="28" fillId="15" fontId="2" numFmtId="0" xfId="0" applyAlignment="1" applyBorder="1" applyFill="1" applyFont="1">
      <alignment horizontal="center" readingOrder="0" shrinkToFit="0" vertical="center" wrapText="1"/>
    </xf>
    <xf borderId="28" fillId="15" fontId="23" numFmtId="0" xfId="0" applyAlignment="1" applyBorder="1" applyFill="1" applyFont="1">
      <alignment horizontal="left" readingOrder="0" shrinkToFit="0" wrapText="1"/>
    </xf>
    <xf borderId="27" fillId="15" fontId="23" numFmtId="0" xfId="0" applyAlignment="1" applyBorder="1" applyFill="1" applyFont="1">
      <alignment horizontal="center" readingOrder="0" shrinkToFit="0" vertical="center" wrapText="1"/>
    </xf>
    <xf borderId="0" fillId="15" fontId="9" numFmtId="0" xfId="0" applyAlignment="1" applyFill="1" applyFont="1">
      <alignment vertical="center"/>
    </xf>
    <xf borderId="28" fillId="0" fontId="24" numFmtId="0" xfId="0" applyAlignment="1" applyBorder="1" applyFont="1">
      <alignment horizontal="center" shrinkToFit="0" vertical="center" wrapText="1"/>
    </xf>
    <xf borderId="35" fillId="2" fontId="2" numFmtId="0" xfId="0" applyAlignment="1" applyBorder="1" applyFill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  <xf borderId="33" fillId="15" fontId="1" numFmtId="0" xfId="0" applyAlignment="1" applyBorder="1" applyFill="1" applyFont="1">
      <alignment horizontal="left" readingOrder="0" shrinkToFit="0" vertical="center" wrapText="1"/>
    </xf>
    <xf borderId="33" fillId="15" fontId="1" numFmtId="0" xfId="0" applyAlignment="1" applyBorder="1" applyFill="1" applyFont="1">
      <alignment horizontal="center" shrinkToFit="0" vertical="center" wrapText="1"/>
    </xf>
    <xf quotePrefix="1" borderId="28" fillId="0" fontId="2" numFmtId="167" xfId="0" applyAlignment="1" applyBorder="1" applyFont="1" applyNumberFormat="1">
      <alignment horizontal="center" shrinkToFit="0" vertical="center" wrapText="1"/>
    </xf>
    <xf borderId="28" fillId="0" fontId="2" numFmtId="0" xfId="0" applyAlignment="1" applyBorder="1" applyFont="1">
      <alignment horizontal="left" shrinkToFit="0" vertical="top" wrapText="1"/>
    </xf>
    <xf borderId="25" fillId="0" fontId="2" numFmtId="0" xfId="0" applyAlignment="1" applyBorder="1" applyFont="1">
      <alignment horizontal="left" shrinkToFit="0" vertical="top" wrapText="1"/>
    </xf>
    <xf borderId="41" fillId="0" fontId="1" numFmtId="0" xfId="0" applyBorder="1" applyFont="1"/>
    <xf borderId="29" fillId="0" fontId="1" numFmtId="0" xfId="0" applyBorder="1" applyFont="1"/>
    <xf borderId="25" fillId="0" fontId="2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horizontal="left" shrinkToFit="0" vertical="top" wrapText="1"/>
    </xf>
    <xf quotePrefix="1" borderId="28" fillId="2" fontId="2" numFmtId="0" xfId="0" applyAlignment="1" applyBorder="1" applyFill="1" applyFont="1">
      <alignment horizontal="left" shrinkToFit="0" vertical="center" wrapText="1"/>
    </xf>
    <xf quotePrefix="1" borderId="28" fillId="2" fontId="2" numFmtId="0" xfId="0" applyAlignment="1" applyBorder="1" applyFill="1" applyFont="1">
      <alignment horizontal="left" shrinkToFit="0" vertical="top" wrapText="1"/>
    </xf>
    <xf borderId="0" fillId="0" fontId="16" numFmtId="0" xfId="0" applyAlignment="1" applyFont="1">
      <alignment horizontal="left" shrinkToFit="0" vertical="center" wrapText="1"/>
    </xf>
    <xf borderId="1" fillId="2" fontId="22" numFmtId="0" xfId="0" applyAlignment="1" applyBorder="1" applyFill="1" applyFont="1">
      <alignment horizontal="left" shrinkToFit="0" vertical="center" wrapText="1"/>
    </xf>
    <xf borderId="1" fillId="2" fontId="16" numFmtId="0" xfId="0" applyAlignment="1" applyBorder="1" applyFill="1" applyFont="1">
      <alignment horizontal="center" shrinkToFit="0" wrapText="1"/>
    </xf>
    <xf borderId="0" fillId="0" fontId="22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top" wrapText="1"/>
    </xf>
    <xf borderId="1" fillId="15" fontId="16" numFmtId="15" xfId="0" applyAlignment="1" applyBorder="1" applyFill="1" applyFont="1" applyNumberFormat="1">
      <alignment horizontal="center" shrinkToFit="0" vertical="center" wrapText="1"/>
    </xf>
    <xf borderId="0" fillId="0" fontId="25" numFmtId="0" xfId="0" applyAlignment="1" applyFont="1">
      <alignment horizontal="left" vertical="top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1" fillId="2" fontId="9" numFmtId="0" xfId="0" applyAlignment="1" applyBorder="1" applyFill="1" applyFont="1">
      <alignment horizontal="left" vertical="center"/>
    </xf>
    <xf borderId="1" fillId="2" fontId="25" numFmtId="0" xfId="0" applyAlignment="1" applyBorder="1" applyFill="1" applyFont="1">
      <alignment horizontal="left" vertical="top"/>
    </xf>
    <xf borderId="2" fillId="2" fontId="26" numFmtId="0" xfId="0" applyAlignment="1" applyBorder="1" applyFill="1" applyFont="1">
      <alignment horizontal="center" shrinkToFit="0" vertical="center" wrapText="1"/>
    </xf>
    <xf borderId="28" fillId="5" fontId="18" numFmtId="0" xfId="0" applyAlignment="1" applyBorder="1" applyFill="1" applyFont="1">
      <alignment horizontal="center" shrinkToFit="0" vertical="center" wrapText="1"/>
    </xf>
    <xf borderId="25" fillId="16" fontId="15" numFmtId="0" xfId="0" applyAlignment="1" applyBorder="1" applyFill="1" applyFont="1">
      <alignment horizontal="left" shrinkToFit="0" vertical="center" wrapText="1"/>
    </xf>
    <xf borderId="32" fillId="16" fontId="14" numFmtId="0" xfId="0" applyAlignment="1" applyBorder="1" applyFill="1" applyFont="1">
      <alignment shrinkToFit="0" vertical="center" wrapText="1"/>
    </xf>
    <xf borderId="33" fillId="16" fontId="14" numFmtId="0" xfId="0" applyAlignment="1" applyBorder="1" applyFill="1" applyFont="1">
      <alignment shrinkToFit="0" vertical="center" wrapText="1"/>
    </xf>
    <xf borderId="28" fillId="0" fontId="19" numFmtId="0" xfId="0" applyAlignment="1" applyBorder="1" applyFont="1">
      <alignment horizontal="left" shrinkToFit="0" vertical="center" wrapText="1"/>
    </xf>
    <xf borderId="28" fillId="0" fontId="27" numFmtId="0" xfId="0" applyAlignment="1" applyBorder="1" applyFont="1">
      <alignment horizontal="left" shrinkToFit="0" vertical="center" wrapText="1"/>
    </xf>
    <xf borderId="28" fillId="2" fontId="1" numFmtId="0" xfId="0" applyBorder="1" applyFill="1" applyFont="1"/>
    <xf borderId="27" fillId="0" fontId="27" numFmtId="49" xfId="0" applyAlignment="1" applyBorder="1" applyFont="1" applyNumberFormat="1">
      <alignment horizontal="center" shrinkToFit="1" vertical="center" wrapText="0"/>
    </xf>
    <xf borderId="28" fillId="15" fontId="19" numFmtId="15" xfId="0" applyAlignment="1" applyBorder="1" applyFill="1" applyFont="1" applyNumberFormat="1">
      <alignment horizontal="center" shrinkToFit="0" vertical="center" wrapText="1"/>
    </xf>
    <xf borderId="39" fillId="0" fontId="19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top" wrapText="1"/>
    </xf>
    <xf borderId="28" fillId="10" fontId="9" numFmtId="0" xfId="0" applyAlignment="1" applyBorder="1" applyFill="1" applyFont="1">
      <alignment horizontal="center" shrinkToFit="0" vertical="center" wrapText="1"/>
    </xf>
    <xf borderId="24" fillId="0" fontId="1" numFmtId="15" xfId="0" applyAlignment="1" applyBorder="1" applyFont="1" applyNumberFormat="1">
      <alignment horizontal="left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shrinkToFit="0" vertical="center" wrapText="1"/>
    </xf>
    <xf borderId="41" fillId="0" fontId="5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1685925</xdr:colOff>
      <xdr:row>1</xdr:row>
      <xdr:rowOff>152400</xdr:rowOff>
    </xdr:from>
    <xdr:ext cx="1762125" cy="6096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1685925</xdr:colOff>
      <xdr:row>9</xdr:row>
      <xdr:rowOff>152400</xdr:rowOff>
    </xdr:from>
    <xdr:ext cx="1762125" cy="6096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0</xdr:row>
      <xdr:rowOff>104775</xdr:rowOff>
    </xdr:from>
    <xdr:ext cx="1562100" cy="495300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9</xdr:row>
      <xdr:rowOff>0</xdr:rowOff>
    </xdr:from>
    <xdr:ext cx="2447925" cy="304800"/>
    <xdr:sp>
      <xdr:nvSpPr>
        <xdr:cNvPr descr="Displaying image.png" id="3" name="Shape 3"/>
        <xdr:cNvSpPr/>
      </xdr:nvSpPr>
      <xdr:spPr>
        <a:xfrm>
          <a:off x="4122038" y="3627600"/>
          <a:ext cx="24479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676275</xdr:colOff>
      <xdr:row>1</xdr:row>
      <xdr:rowOff>38100</xdr:rowOff>
    </xdr:from>
    <xdr:ext cx="2000250" cy="647700"/>
    <xdr:pic>
      <xdr:nvPicPr>
        <xdr:cNvPr descr="BSS New Logo (Black)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257175</xdr:colOff>
      <xdr:row>1</xdr:row>
      <xdr:rowOff>28575</xdr:rowOff>
    </xdr:from>
    <xdr:ext cx="2276475" cy="714375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1</xdr:row>
      <xdr:rowOff>28575</xdr:rowOff>
    </xdr:from>
    <xdr:ext cx="2276475" cy="714375"/>
    <xdr:pic>
      <xdr:nvPicPr>
        <xdr:cNvPr descr="BSS New Logo (Black)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4.0"/>
    <col customWidth="1" min="2" max="2" width="21.86"/>
    <col customWidth="1" min="3" max="3" width="41.86"/>
    <col customWidth="1" min="4" max="4" width="25.14"/>
    <col customWidth="1" min="5" max="5" width="45.86"/>
    <col customWidth="1" min="6" max="6" width="62.29"/>
    <col customWidth="1" min="7" max="7" width="49.0"/>
    <col customWidth="1" min="8" max="8" width="30.29"/>
    <col customWidth="1" min="9" max="9" width="78.29"/>
    <col customWidth="1" min="10" max="10" width="31.29"/>
    <col customWidth="1" min="11" max="11" width="25.43"/>
    <col customWidth="1" min="12" max="12" width="27.14"/>
    <col customWidth="1" min="13" max="13" width="21.43"/>
    <col customWidth="1" min="14" max="14" width="29.57"/>
    <col customWidth="1" min="15" max="15" width="31.29"/>
    <col customWidth="1" hidden="1" min="16" max="16" width="21.14"/>
    <col customWidth="1" min="17" max="20" width="21.14"/>
    <col customWidth="1" min="21" max="21" width="25.29"/>
    <col customWidth="1" min="22" max="22" width="6.86"/>
    <col customWidth="1" min="23" max="28" width="8.0"/>
  </cols>
  <sheetData>
    <row r="1" ht="4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0" customHeight="1">
      <c r="A2" s="8"/>
      <c r="B2" s="12" t="s">
        <v>1</v>
      </c>
      <c r="C2" s="15"/>
      <c r="D2" s="15"/>
      <c r="E2" s="15"/>
      <c r="F2" s="15"/>
      <c r="G2" s="15"/>
      <c r="H2" s="15"/>
      <c r="I2" s="15"/>
      <c r="J2" s="15"/>
      <c r="K2" s="19"/>
      <c r="L2" s="20"/>
      <c r="M2" s="22"/>
      <c r="N2" s="22"/>
      <c r="O2" s="22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8"/>
      <c r="B3" s="26"/>
      <c r="K3" s="1"/>
      <c r="L3" s="30"/>
      <c r="M3" s="22"/>
      <c r="N3" s="22"/>
      <c r="O3" s="22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39.0" customHeight="1">
      <c r="A4" s="8"/>
      <c r="B4" s="32"/>
      <c r="C4" s="35"/>
      <c r="D4" s="35"/>
      <c r="E4" s="35"/>
      <c r="F4" s="35"/>
      <c r="G4" s="35"/>
      <c r="H4" s="35"/>
      <c r="I4" s="35"/>
      <c r="J4" s="35"/>
      <c r="K4" s="50"/>
      <c r="L4" s="52"/>
      <c r="M4" s="22"/>
      <c r="N4" s="22"/>
      <c r="O4" s="2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29.25" customHeight="1">
      <c r="A5" s="8"/>
      <c r="B5" s="8"/>
      <c r="C5" s="55"/>
      <c r="D5" s="57"/>
      <c r="E5" s="57"/>
      <c r="F5" s="55"/>
      <c r="G5" s="55"/>
      <c r="H5" s="55"/>
      <c r="I5" s="55"/>
      <c r="J5" s="55"/>
      <c r="K5" s="55"/>
      <c r="L5" s="55"/>
      <c r="M5" s="55"/>
      <c r="N5" s="8"/>
      <c r="O5" s="8"/>
      <c r="P5" s="8" t="s">
        <v>31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45.75" customHeight="1">
      <c r="A6" s="8"/>
      <c r="B6" s="59" t="s">
        <v>32</v>
      </c>
      <c r="C6" s="62" t="s">
        <v>33</v>
      </c>
      <c r="D6" s="65" t="s">
        <v>35</v>
      </c>
      <c r="E6" s="67" t="s">
        <v>36</v>
      </c>
      <c r="F6" s="71" t="s">
        <v>37</v>
      </c>
      <c r="G6" s="65" t="s">
        <v>41</v>
      </c>
      <c r="H6" s="67" t="s">
        <v>42</v>
      </c>
      <c r="I6" s="71" t="s">
        <v>37</v>
      </c>
      <c r="J6" s="78"/>
      <c r="K6" s="80"/>
      <c r="L6" s="82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"/>
      <c r="Z6" s="1"/>
      <c r="AA6" s="1"/>
      <c r="AB6" s="1"/>
    </row>
    <row r="7" ht="45.75" customHeight="1">
      <c r="A7" s="8"/>
      <c r="B7" s="59" t="s">
        <v>12</v>
      </c>
      <c r="C7" s="87" t="s">
        <v>50</v>
      </c>
      <c r="D7" s="49"/>
      <c r="E7" s="49"/>
      <c r="F7" s="49"/>
      <c r="G7" s="49"/>
      <c r="H7" s="49"/>
      <c r="I7" s="49"/>
      <c r="J7" s="90"/>
      <c r="K7" s="90"/>
      <c r="L7" s="82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"/>
      <c r="Z7" s="1"/>
      <c r="AA7" s="1"/>
      <c r="AB7" s="1"/>
    </row>
    <row r="8" ht="45.0" customHeight="1">
      <c r="A8" s="8"/>
      <c r="B8" s="59" t="s">
        <v>54</v>
      </c>
      <c r="C8" s="96" t="s">
        <v>46</v>
      </c>
      <c r="M8" s="9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"/>
      <c r="AB8" s="1"/>
    </row>
    <row r="9" ht="4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8.0" customHeight="1">
      <c r="A10" s="8"/>
      <c r="B10" s="12" t="s">
        <v>61</v>
      </c>
      <c r="C10" s="15"/>
      <c r="D10" s="15"/>
      <c r="E10" s="15"/>
      <c r="F10" s="15"/>
      <c r="G10" s="15"/>
      <c r="H10" s="15"/>
      <c r="I10" s="15"/>
      <c r="J10" s="15"/>
      <c r="K10" s="19"/>
      <c r="L10" s="20"/>
      <c r="M10" s="22"/>
      <c r="N10" s="22"/>
      <c r="O10" s="22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8.75" customHeight="1">
      <c r="A11" s="8"/>
      <c r="B11" s="26"/>
      <c r="K11" s="1"/>
      <c r="L11" s="30"/>
      <c r="M11" s="22"/>
      <c r="N11" s="22"/>
      <c r="O11" s="2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39.0" customHeight="1">
      <c r="A12" s="8"/>
      <c r="B12" s="32"/>
      <c r="C12" s="35"/>
      <c r="D12" s="35"/>
      <c r="E12" s="35"/>
      <c r="F12" s="35"/>
      <c r="G12" s="35"/>
      <c r="H12" s="35"/>
      <c r="I12" s="35"/>
      <c r="J12" s="35"/>
      <c r="K12" s="50"/>
      <c r="L12" s="52"/>
      <c r="M12" s="22"/>
      <c r="N12" s="22"/>
      <c r="O12" s="22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29.25" customHeight="1">
      <c r="A13" s="8"/>
      <c r="B13" s="8"/>
      <c r="C13" s="55"/>
      <c r="D13" s="57"/>
      <c r="E13" s="57"/>
      <c r="F13" s="55"/>
      <c r="G13" s="55"/>
      <c r="H13" s="55"/>
      <c r="I13" s="55"/>
      <c r="J13" s="55"/>
      <c r="K13" s="55"/>
      <c r="L13" s="55"/>
      <c r="M13" s="55"/>
      <c r="N13" s="8"/>
      <c r="O13" s="8"/>
      <c r="P13" s="8" t="s">
        <v>31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45.75" customHeight="1">
      <c r="A14" s="8"/>
      <c r="B14" s="59" t="s">
        <v>32</v>
      </c>
      <c r="C14" s="62" t="s">
        <v>33</v>
      </c>
      <c r="D14" s="65" t="s">
        <v>35</v>
      </c>
      <c r="E14" s="67" t="s">
        <v>66</v>
      </c>
      <c r="F14" s="71" t="s">
        <v>37</v>
      </c>
      <c r="G14" s="65" t="s">
        <v>69</v>
      </c>
      <c r="H14" s="67" t="s">
        <v>70</v>
      </c>
      <c r="I14" s="71" t="s">
        <v>37</v>
      </c>
      <c r="J14" s="106" t="s">
        <v>71</v>
      </c>
      <c r="K14" s="67" t="s">
        <v>77</v>
      </c>
      <c r="L14" s="71" t="s">
        <v>37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  <c r="AA14" s="1"/>
      <c r="AB14" s="1"/>
    </row>
    <row r="15" ht="45.75" customHeight="1">
      <c r="A15" s="8"/>
      <c r="B15" s="107" t="s">
        <v>12</v>
      </c>
      <c r="C15" s="109" t="s">
        <v>50</v>
      </c>
      <c r="D15" s="49"/>
      <c r="E15" s="49"/>
      <c r="F15" s="49"/>
      <c r="G15" s="49"/>
      <c r="H15" s="49"/>
      <c r="I15" s="49"/>
      <c r="J15" s="49"/>
      <c r="K15" s="49"/>
      <c r="L15" s="4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  <c r="AA15" s="1"/>
      <c r="AB15" s="1"/>
    </row>
    <row r="16" ht="45.75" customHeight="1">
      <c r="A16" s="8"/>
      <c r="B16" s="106" t="s">
        <v>54</v>
      </c>
      <c r="C16" s="112" t="s">
        <v>46</v>
      </c>
      <c r="D16" s="113"/>
      <c r="E16" s="116"/>
      <c r="F16" s="55"/>
      <c r="G16" s="118"/>
      <c r="H16" s="80"/>
      <c r="I16" s="121"/>
      <c r="J16" s="122"/>
      <c r="K16" s="123"/>
      <c r="L16" s="124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  <c r="AA16" s="1"/>
      <c r="AB16" s="1"/>
    </row>
    <row r="17" ht="45.75" customHeight="1">
      <c r="A17" s="8"/>
      <c r="B17" s="49"/>
      <c r="C17" s="49"/>
      <c r="D17" s="113"/>
      <c r="E17" s="116"/>
      <c r="F17" s="55"/>
      <c r="G17" s="90"/>
      <c r="H17" s="90"/>
      <c r="I17" s="90"/>
      <c r="J17" s="122"/>
      <c r="K17" s="123"/>
      <c r="L17" s="124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  <c r="AA17" s="1"/>
      <c r="AB17" s="1"/>
    </row>
    <row r="18" ht="45.75" customHeight="1">
      <c r="A18" s="8"/>
      <c r="B18" s="113"/>
      <c r="C18" s="113"/>
      <c r="D18" s="113"/>
      <c r="E18" s="116"/>
      <c r="F18" s="55"/>
      <c r="G18" s="118"/>
      <c r="H18" s="80"/>
      <c r="I18" s="121"/>
      <c r="J18" s="122"/>
      <c r="K18" s="123"/>
      <c r="L18" s="124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  <c r="AA18" s="1"/>
      <c r="AB18" s="1"/>
    </row>
    <row r="19" ht="45.75" customHeight="1">
      <c r="A19" s="8"/>
      <c r="B19" s="113"/>
      <c r="C19" s="113"/>
      <c r="D19" s="113"/>
      <c r="E19" s="116"/>
      <c r="F19" s="55"/>
      <c r="G19" s="90"/>
      <c r="H19" s="90"/>
      <c r="I19" s="90"/>
      <c r="J19" s="122"/>
      <c r="K19" s="123"/>
      <c r="L19" s="124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  <c r="AA19" s="1"/>
      <c r="AB19" s="1"/>
    </row>
    <row r="20" ht="4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46.5" customHeight="1">
      <c r="A21" s="97"/>
      <c r="B21" s="132" t="s">
        <v>12</v>
      </c>
      <c r="C21" s="132" t="s">
        <v>13</v>
      </c>
      <c r="D21" s="132" t="s">
        <v>14</v>
      </c>
      <c r="E21" s="132" t="s">
        <v>15</v>
      </c>
      <c r="F21" s="132" t="s">
        <v>16</v>
      </c>
      <c r="G21" s="132" t="s">
        <v>101</v>
      </c>
      <c r="H21" s="132" t="s">
        <v>19</v>
      </c>
      <c r="I21" s="133" t="s">
        <v>102</v>
      </c>
      <c r="J21" s="132" t="s">
        <v>21</v>
      </c>
      <c r="K21" s="132" t="s">
        <v>105</v>
      </c>
      <c r="L21" s="132" t="s">
        <v>22</v>
      </c>
      <c r="M21" s="97"/>
      <c r="N21" s="97"/>
      <c r="O21" s="97"/>
      <c r="P21" s="97"/>
      <c r="Q21" s="8"/>
      <c r="R21" s="97"/>
      <c r="S21" s="97"/>
      <c r="T21" s="97"/>
      <c r="U21" s="97"/>
      <c r="V21" s="97"/>
      <c r="W21" s="97"/>
      <c r="X21" s="97"/>
      <c r="Y21" s="97"/>
      <c r="Z21" s="1"/>
      <c r="AA21" s="1"/>
      <c r="AB21" s="1"/>
    </row>
    <row r="22" ht="15.75" customHeight="1">
      <c r="A22" s="97"/>
      <c r="B22" s="135" t="s">
        <v>110</v>
      </c>
      <c r="C22" s="45"/>
      <c r="D22" s="137"/>
      <c r="E22" s="137"/>
      <c r="F22" s="138"/>
      <c r="G22" s="138"/>
      <c r="H22" s="137" t="s">
        <v>114</v>
      </c>
      <c r="I22" s="141"/>
      <c r="J22" s="137"/>
      <c r="K22" s="137"/>
      <c r="L22" s="137"/>
      <c r="M22" s="57"/>
      <c r="N22" s="97"/>
      <c r="O22" s="97"/>
      <c r="P22" s="97"/>
      <c r="Q22" s="8"/>
      <c r="R22" s="97"/>
      <c r="S22" s="97"/>
      <c r="T22" s="97"/>
      <c r="U22" s="97"/>
      <c r="V22" s="97"/>
      <c r="W22" s="97"/>
      <c r="X22" s="97"/>
      <c r="Y22" s="97"/>
      <c r="Z22" s="1"/>
      <c r="AA22" s="1"/>
      <c r="AB22" s="1"/>
    </row>
    <row r="23" ht="15.75" customHeight="1" outlineLevel="1">
      <c r="A23" s="97"/>
      <c r="B23" s="153" t="s">
        <v>73</v>
      </c>
      <c r="C23" s="154" t="s">
        <v>121</v>
      </c>
      <c r="D23" s="85">
        <v>1.0</v>
      </c>
      <c r="E23" s="158" t="s">
        <v>122</v>
      </c>
      <c r="F23" s="159" t="s">
        <v>124</v>
      </c>
      <c r="G23" s="153" t="s">
        <v>125</v>
      </c>
      <c r="H23" s="160" t="s">
        <v>26</v>
      </c>
      <c r="I23" s="161" t="s">
        <v>126</v>
      </c>
      <c r="J23" s="162">
        <v>46268.0</v>
      </c>
      <c r="K23" s="163" t="s">
        <v>60</v>
      </c>
      <c r="L23" s="163" t="s">
        <v>36</v>
      </c>
      <c r="M23" s="57"/>
      <c r="N23" s="97"/>
      <c r="O23" s="97"/>
      <c r="P23" s="97"/>
      <c r="Q23" s="8"/>
      <c r="R23" s="97"/>
      <c r="S23" s="97"/>
      <c r="T23" s="97"/>
      <c r="U23" s="97"/>
      <c r="V23" s="97"/>
      <c r="W23" s="97"/>
      <c r="X23" s="97"/>
      <c r="Y23" s="97"/>
      <c r="Z23" s="1"/>
      <c r="AA23" s="1"/>
      <c r="AB23" s="1"/>
    </row>
    <row r="24" ht="15.75" customHeight="1" outlineLevel="1">
      <c r="A24" s="97"/>
      <c r="B24" s="153" t="s">
        <v>73</v>
      </c>
      <c r="C24" s="154" t="s">
        <v>121</v>
      </c>
      <c r="D24" s="85"/>
      <c r="E24" s="158" t="s">
        <v>127</v>
      </c>
      <c r="F24" s="159" t="s">
        <v>128</v>
      </c>
      <c r="G24" s="153" t="s">
        <v>129</v>
      </c>
      <c r="H24" s="160" t="s">
        <v>26</v>
      </c>
      <c r="I24" s="161" t="s">
        <v>130</v>
      </c>
      <c r="J24" s="162">
        <v>46268.0</v>
      </c>
      <c r="K24" s="163" t="s">
        <v>60</v>
      </c>
      <c r="L24" s="163" t="s">
        <v>36</v>
      </c>
      <c r="M24" s="57"/>
      <c r="N24" s="97"/>
      <c r="O24" s="97"/>
      <c r="P24" s="97"/>
      <c r="Q24" s="8"/>
      <c r="R24" s="97"/>
      <c r="S24" s="97"/>
      <c r="T24" s="97"/>
      <c r="U24" s="97"/>
      <c r="V24" s="97"/>
      <c r="W24" s="97"/>
      <c r="X24" s="97"/>
      <c r="Y24" s="97"/>
      <c r="Z24" s="1"/>
      <c r="AA24" s="1"/>
      <c r="AB24" s="1"/>
    </row>
    <row r="25" ht="15.75" customHeight="1" outlineLevel="1">
      <c r="A25" s="97"/>
      <c r="B25" s="153" t="s">
        <v>73</v>
      </c>
      <c r="C25" s="154" t="s">
        <v>121</v>
      </c>
      <c r="D25" s="85"/>
      <c r="E25" s="158" t="s">
        <v>131</v>
      </c>
      <c r="F25" s="159" t="s">
        <v>132</v>
      </c>
      <c r="G25" s="153" t="s">
        <v>133</v>
      </c>
      <c r="H25" s="160" t="s">
        <v>26</v>
      </c>
      <c r="I25" s="161" t="s">
        <v>134</v>
      </c>
      <c r="J25" s="162">
        <v>46268.0</v>
      </c>
      <c r="K25" s="163" t="s">
        <v>60</v>
      </c>
      <c r="L25" s="163" t="s">
        <v>36</v>
      </c>
      <c r="M25" s="57"/>
      <c r="N25" s="97"/>
      <c r="O25" s="97"/>
      <c r="P25" s="97"/>
      <c r="Q25" s="8"/>
      <c r="R25" s="97"/>
      <c r="S25" s="97"/>
      <c r="T25" s="97"/>
      <c r="U25" s="97"/>
      <c r="V25" s="97"/>
      <c r="W25" s="97"/>
      <c r="X25" s="97"/>
      <c r="Y25" s="97"/>
      <c r="Z25" s="1"/>
      <c r="AA25" s="1"/>
      <c r="AB25" s="1"/>
    </row>
    <row r="26" ht="15.75" customHeight="1" outlineLevel="1">
      <c r="A26" s="97"/>
      <c r="B26" s="153" t="s">
        <v>73</v>
      </c>
      <c r="C26" s="164" t="s">
        <v>121</v>
      </c>
      <c r="D26" s="85"/>
      <c r="E26" s="158" t="s">
        <v>135</v>
      </c>
      <c r="F26" s="165" t="s">
        <v>136</v>
      </c>
      <c r="G26" s="166" t="s">
        <v>137</v>
      </c>
      <c r="H26" s="160" t="s">
        <v>26</v>
      </c>
      <c r="I26" s="161" t="s">
        <v>138</v>
      </c>
      <c r="J26" s="162">
        <v>46268.0</v>
      </c>
      <c r="K26" s="163" t="s">
        <v>60</v>
      </c>
      <c r="L26" s="163" t="s">
        <v>36</v>
      </c>
      <c r="M26" s="57"/>
      <c r="N26" s="97"/>
      <c r="O26" s="97"/>
      <c r="P26" s="97"/>
      <c r="Q26" s="8"/>
      <c r="R26" s="97"/>
      <c r="S26" s="97"/>
      <c r="T26" s="97"/>
      <c r="U26" s="97"/>
      <c r="V26" s="97"/>
      <c r="W26" s="97"/>
      <c r="X26" s="97"/>
      <c r="Y26" s="97"/>
      <c r="Z26" s="1"/>
      <c r="AA26" s="1"/>
      <c r="AB26" s="1"/>
    </row>
    <row r="27" ht="15.75" customHeight="1" outlineLevel="1">
      <c r="A27" s="97"/>
      <c r="B27" s="153" t="s">
        <v>73</v>
      </c>
      <c r="C27" s="164" t="s">
        <v>121</v>
      </c>
      <c r="D27" s="85"/>
      <c r="E27" s="158" t="s">
        <v>139</v>
      </c>
      <c r="F27" s="165" t="s">
        <v>140</v>
      </c>
      <c r="G27" s="166" t="s">
        <v>141</v>
      </c>
      <c r="H27" s="160" t="s">
        <v>26</v>
      </c>
      <c r="I27" s="167" t="s">
        <v>142</v>
      </c>
      <c r="J27" s="162">
        <v>46268.0</v>
      </c>
      <c r="K27" s="163" t="s">
        <v>60</v>
      </c>
      <c r="L27" s="163" t="s">
        <v>36</v>
      </c>
      <c r="M27" s="57"/>
      <c r="N27" s="97"/>
      <c r="O27" s="97"/>
      <c r="P27" s="97"/>
      <c r="Q27" s="8"/>
      <c r="R27" s="97"/>
      <c r="S27" s="97"/>
      <c r="T27" s="97"/>
      <c r="U27" s="97"/>
      <c r="V27" s="97"/>
      <c r="W27" s="97"/>
      <c r="X27" s="97"/>
      <c r="Y27" s="97"/>
      <c r="Z27" s="1"/>
      <c r="AA27" s="1"/>
      <c r="AB27" s="1"/>
    </row>
    <row r="28" ht="15.75" customHeight="1" outlineLevel="1">
      <c r="A28" s="97"/>
      <c r="B28" s="153" t="s">
        <v>73</v>
      </c>
      <c r="C28" s="154" t="s">
        <v>143</v>
      </c>
      <c r="D28" s="85"/>
      <c r="E28" s="158" t="s">
        <v>144</v>
      </c>
      <c r="F28" s="159" t="s">
        <v>145</v>
      </c>
      <c r="G28" s="153" t="s">
        <v>146</v>
      </c>
      <c r="H28" s="160" t="s">
        <v>26</v>
      </c>
      <c r="I28" s="161" t="s">
        <v>147</v>
      </c>
      <c r="J28" s="162">
        <v>46268.0</v>
      </c>
      <c r="K28" s="163" t="s">
        <v>60</v>
      </c>
      <c r="L28" s="163" t="s">
        <v>36</v>
      </c>
      <c r="M28" s="168"/>
      <c r="N28" s="97"/>
      <c r="O28" s="97"/>
      <c r="P28" s="97"/>
      <c r="Q28" s="8"/>
      <c r="R28" s="97"/>
      <c r="S28" s="97"/>
      <c r="T28" s="97"/>
      <c r="U28" s="97"/>
      <c r="V28" s="97"/>
      <c r="W28" s="97"/>
      <c r="X28" s="97"/>
      <c r="Y28" s="97"/>
      <c r="Z28" s="1"/>
      <c r="AA28" s="1"/>
      <c r="AB28" s="1"/>
    </row>
    <row r="29" ht="15.75" customHeight="1" outlineLevel="1">
      <c r="A29" s="97"/>
      <c r="B29" s="153" t="s">
        <v>73</v>
      </c>
      <c r="C29" s="154" t="s">
        <v>143</v>
      </c>
      <c r="D29" s="85"/>
      <c r="E29" s="158" t="s">
        <v>148</v>
      </c>
      <c r="F29" s="159" t="s">
        <v>149</v>
      </c>
      <c r="G29" s="153" t="s">
        <v>146</v>
      </c>
      <c r="H29" s="85" t="s">
        <v>72</v>
      </c>
      <c r="I29" s="169" t="s">
        <v>150</v>
      </c>
      <c r="J29" s="170"/>
      <c r="K29" s="163" t="s">
        <v>60</v>
      </c>
      <c r="L29" s="163" t="s">
        <v>36</v>
      </c>
      <c r="M29" s="57"/>
      <c r="N29" s="97"/>
      <c r="O29" s="97"/>
      <c r="P29" s="97"/>
      <c r="Q29" s="8"/>
      <c r="R29" s="97"/>
      <c r="S29" s="97"/>
      <c r="T29" s="97"/>
      <c r="U29" s="97"/>
      <c r="V29" s="97"/>
      <c r="W29" s="97"/>
      <c r="X29" s="97"/>
      <c r="Y29" s="97"/>
      <c r="Z29" s="1"/>
      <c r="AA29" s="1"/>
      <c r="AB29" s="1"/>
    </row>
    <row r="30" ht="15.75" customHeight="1" outlineLevel="1">
      <c r="A30" s="97"/>
      <c r="B30" s="153" t="s">
        <v>73</v>
      </c>
      <c r="C30" s="154" t="s">
        <v>143</v>
      </c>
      <c r="D30" s="85"/>
      <c r="E30" s="158" t="s">
        <v>151</v>
      </c>
      <c r="F30" s="159" t="s">
        <v>152</v>
      </c>
      <c r="G30" s="153" t="s">
        <v>153</v>
      </c>
      <c r="H30" s="85" t="s">
        <v>72</v>
      </c>
      <c r="I30" s="169" t="s">
        <v>154</v>
      </c>
      <c r="J30" s="170"/>
      <c r="K30" s="163" t="s">
        <v>60</v>
      </c>
      <c r="L30" s="163" t="s">
        <v>36</v>
      </c>
      <c r="M30" s="57"/>
      <c r="N30" s="97"/>
      <c r="O30" s="97"/>
      <c r="P30" s="97"/>
      <c r="Q30" s="8"/>
      <c r="R30" s="97"/>
      <c r="S30" s="97"/>
      <c r="T30" s="97"/>
      <c r="U30" s="97"/>
      <c r="V30" s="97"/>
      <c r="W30" s="97"/>
      <c r="X30" s="97"/>
      <c r="Y30" s="97"/>
      <c r="Z30" s="1"/>
      <c r="AA30" s="1"/>
      <c r="AB30" s="1"/>
    </row>
    <row r="31" ht="15.75" customHeight="1" outlineLevel="1">
      <c r="A31" s="97"/>
      <c r="B31" s="153" t="s">
        <v>73</v>
      </c>
      <c r="C31" s="154" t="s">
        <v>143</v>
      </c>
      <c r="D31" s="85"/>
      <c r="E31" s="158" t="s">
        <v>155</v>
      </c>
      <c r="F31" s="159" t="s">
        <v>156</v>
      </c>
      <c r="G31" s="153" t="s">
        <v>157</v>
      </c>
      <c r="H31" s="85" t="s">
        <v>72</v>
      </c>
      <c r="I31" s="169" t="s">
        <v>158</v>
      </c>
      <c r="J31" s="170"/>
      <c r="K31" s="163" t="s">
        <v>60</v>
      </c>
      <c r="L31" s="163" t="s">
        <v>36</v>
      </c>
      <c r="M31" s="57"/>
      <c r="N31" s="97"/>
      <c r="O31" s="97"/>
      <c r="P31" s="97"/>
      <c r="Q31" s="8"/>
      <c r="R31" s="97"/>
      <c r="S31" s="97"/>
      <c r="T31" s="97"/>
      <c r="U31" s="97"/>
      <c r="V31" s="97"/>
      <c r="W31" s="97"/>
      <c r="X31" s="97"/>
      <c r="Y31" s="97"/>
      <c r="Z31" s="1"/>
      <c r="AA31" s="1"/>
      <c r="AB31" s="1"/>
    </row>
    <row r="32" ht="15.75" customHeight="1" outlineLevel="1">
      <c r="A32" s="97"/>
      <c r="B32" s="153" t="s">
        <v>73</v>
      </c>
      <c r="C32" s="154" t="s">
        <v>143</v>
      </c>
      <c r="D32" s="85"/>
      <c r="E32" s="158" t="s">
        <v>159</v>
      </c>
      <c r="F32" s="159" t="s">
        <v>160</v>
      </c>
      <c r="G32" s="153" t="s">
        <v>161</v>
      </c>
      <c r="H32" s="85" t="s">
        <v>72</v>
      </c>
      <c r="I32" s="169" t="s">
        <v>158</v>
      </c>
      <c r="J32" s="170"/>
      <c r="K32" s="163" t="s">
        <v>60</v>
      </c>
      <c r="L32" s="163" t="s">
        <v>36</v>
      </c>
      <c r="M32" s="57"/>
      <c r="N32" s="97"/>
      <c r="O32" s="97"/>
      <c r="P32" s="97"/>
      <c r="Q32" s="8"/>
      <c r="R32" s="97"/>
      <c r="S32" s="97"/>
      <c r="T32" s="97"/>
      <c r="U32" s="97"/>
      <c r="V32" s="97"/>
      <c r="W32" s="97"/>
      <c r="X32" s="97"/>
      <c r="Y32" s="97"/>
      <c r="Z32" s="1"/>
      <c r="AA32" s="1"/>
      <c r="AB32" s="1"/>
    </row>
    <row r="33" ht="15.75" customHeight="1" outlineLevel="1">
      <c r="A33" s="97"/>
      <c r="B33" s="153" t="s">
        <v>73</v>
      </c>
      <c r="C33" s="154" t="s">
        <v>143</v>
      </c>
      <c r="D33" s="85"/>
      <c r="E33" s="158" t="s">
        <v>162</v>
      </c>
      <c r="F33" s="159" t="s">
        <v>163</v>
      </c>
      <c r="G33" s="153" t="s">
        <v>164</v>
      </c>
      <c r="H33" s="85" t="s">
        <v>72</v>
      </c>
      <c r="I33" s="169" t="s">
        <v>158</v>
      </c>
      <c r="J33" s="170"/>
      <c r="K33" s="163" t="s">
        <v>60</v>
      </c>
      <c r="L33" s="163" t="s">
        <v>36</v>
      </c>
      <c r="M33" s="57"/>
      <c r="N33" s="97"/>
      <c r="O33" s="97"/>
      <c r="P33" s="97"/>
      <c r="Q33" s="8"/>
      <c r="R33" s="97"/>
      <c r="S33" s="97"/>
      <c r="T33" s="97"/>
      <c r="U33" s="97"/>
      <c r="V33" s="97"/>
      <c r="W33" s="97"/>
      <c r="X33" s="97"/>
      <c r="Y33" s="97"/>
      <c r="Z33" s="1"/>
      <c r="AA33" s="1"/>
      <c r="AB33" s="1"/>
    </row>
    <row r="34" ht="15.75" customHeight="1">
      <c r="A34" s="1"/>
      <c r="B34" s="135" t="s">
        <v>165</v>
      </c>
      <c r="C34" s="44"/>
      <c r="D34" s="44"/>
      <c r="E34" s="45"/>
      <c r="F34" s="138"/>
      <c r="G34" s="138"/>
      <c r="H34" s="137" t="s">
        <v>114</v>
      </c>
      <c r="I34" s="171"/>
      <c r="J34" s="137"/>
      <c r="K34" s="137"/>
      <c r="L34" s="137"/>
      <c r="M34" s="5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 outlineLevel="1">
      <c r="A35" s="1"/>
      <c r="B35" s="153" t="s">
        <v>73</v>
      </c>
      <c r="C35" s="154" t="s">
        <v>121</v>
      </c>
      <c r="D35" s="85">
        <v>2.0</v>
      </c>
      <c r="E35" s="158" t="s">
        <v>166</v>
      </c>
      <c r="F35" s="153" t="s">
        <v>124</v>
      </c>
      <c r="G35" s="153" t="s">
        <v>125</v>
      </c>
      <c r="H35" s="160" t="s">
        <v>26</v>
      </c>
      <c r="I35" s="161" t="s">
        <v>167</v>
      </c>
      <c r="J35" s="162">
        <v>46266.0</v>
      </c>
      <c r="K35" s="85" t="s">
        <v>60</v>
      </c>
      <c r="L35" s="85" t="s">
        <v>36</v>
      </c>
      <c r="M35" s="17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 outlineLevel="1">
      <c r="A36" s="1"/>
      <c r="B36" s="153" t="s">
        <v>73</v>
      </c>
      <c r="C36" s="154" t="s">
        <v>121</v>
      </c>
      <c r="D36" s="85"/>
      <c r="E36" s="158" t="s">
        <v>168</v>
      </c>
      <c r="F36" s="153" t="s">
        <v>128</v>
      </c>
      <c r="G36" s="153" t="s">
        <v>129</v>
      </c>
      <c r="H36" s="160" t="s">
        <v>26</v>
      </c>
      <c r="I36" s="161" t="s">
        <v>169</v>
      </c>
      <c r="J36" s="162">
        <v>46266.0</v>
      </c>
      <c r="K36" s="85" t="s">
        <v>60</v>
      </c>
      <c r="L36" s="85" t="s">
        <v>36</v>
      </c>
      <c r="M36" s="17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 outlineLevel="1">
      <c r="A37" s="1"/>
      <c r="B37" s="153" t="s">
        <v>73</v>
      </c>
      <c r="C37" s="154" t="s">
        <v>121</v>
      </c>
      <c r="D37" s="85"/>
      <c r="E37" s="158" t="s">
        <v>170</v>
      </c>
      <c r="F37" s="153" t="s">
        <v>132</v>
      </c>
      <c r="G37" s="153" t="s">
        <v>133</v>
      </c>
      <c r="H37" s="160" t="s">
        <v>26</v>
      </c>
      <c r="I37" s="161" t="s">
        <v>171</v>
      </c>
      <c r="J37" s="162">
        <v>46266.0</v>
      </c>
      <c r="K37" s="85" t="s">
        <v>60</v>
      </c>
      <c r="L37" s="85" t="s">
        <v>36</v>
      </c>
      <c r="M37" s="17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 outlineLevel="1">
      <c r="A38" s="1"/>
      <c r="B38" s="153" t="s">
        <v>73</v>
      </c>
      <c r="C38" s="164" t="s">
        <v>121</v>
      </c>
      <c r="D38" s="85"/>
      <c r="E38" s="158" t="s">
        <v>172</v>
      </c>
      <c r="F38" s="166" t="s">
        <v>136</v>
      </c>
      <c r="G38" s="166" t="s">
        <v>137</v>
      </c>
      <c r="H38" s="160" t="s">
        <v>26</v>
      </c>
      <c r="I38" s="161" t="s">
        <v>173</v>
      </c>
      <c r="J38" s="162">
        <v>46266.0</v>
      </c>
      <c r="K38" s="85" t="s">
        <v>60</v>
      </c>
      <c r="L38" s="85" t="s">
        <v>36</v>
      </c>
      <c r="M38" s="17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 outlineLevel="1">
      <c r="A39" s="1"/>
      <c r="B39" s="153" t="s">
        <v>73</v>
      </c>
      <c r="C39" s="164" t="s">
        <v>121</v>
      </c>
      <c r="D39" s="85"/>
      <c r="E39" s="158" t="s">
        <v>174</v>
      </c>
      <c r="F39" s="166" t="s">
        <v>140</v>
      </c>
      <c r="G39" s="166" t="s">
        <v>141</v>
      </c>
      <c r="H39" s="160" t="s">
        <v>26</v>
      </c>
      <c r="I39" s="161" t="s">
        <v>175</v>
      </c>
      <c r="J39" s="162">
        <v>46266.0</v>
      </c>
      <c r="K39" s="85" t="s">
        <v>60</v>
      </c>
      <c r="L39" s="85" t="s">
        <v>36</v>
      </c>
      <c r="M39" s="17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 outlineLevel="1">
      <c r="A40" s="1"/>
      <c r="B40" s="153" t="s">
        <v>73</v>
      </c>
      <c r="C40" s="154" t="s">
        <v>176</v>
      </c>
      <c r="D40" s="85"/>
      <c r="E40" s="158" t="s">
        <v>177</v>
      </c>
      <c r="F40" s="153" t="s">
        <v>178</v>
      </c>
      <c r="G40" s="153" t="s">
        <v>179</v>
      </c>
      <c r="H40" s="160" t="s">
        <v>26</v>
      </c>
      <c r="I40" s="161" t="s">
        <v>180</v>
      </c>
      <c r="J40" s="170"/>
      <c r="K40" s="85" t="s">
        <v>60</v>
      </c>
      <c r="L40" s="85" t="s">
        <v>36</v>
      </c>
      <c r="M40" s="17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 outlineLevel="1">
      <c r="A41" s="1"/>
      <c r="B41" s="153" t="s">
        <v>73</v>
      </c>
      <c r="C41" s="154" t="s">
        <v>176</v>
      </c>
      <c r="D41" s="85"/>
      <c r="E41" s="158" t="s">
        <v>181</v>
      </c>
      <c r="F41" s="159" t="s">
        <v>182</v>
      </c>
      <c r="G41" s="153" t="s">
        <v>179</v>
      </c>
      <c r="H41" s="85" t="s">
        <v>72</v>
      </c>
      <c r="I41" s="169" t="s">
        <v>183</v>
      </c>
      <c r="J41" s="170"/>
      <c r="K41" s="163" t="s">
        <v>60</v>
      </c>
      <c r="L41" s="163" t="s">
        <v>36</v>
      </c>
      <c r="M41" s="17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 outlineLevel="1">
      <c r="A42" s="1"/>
      <c r="B42" s="153" t="s">
        <v>73</v>
      </c>
      <c r="C42" s="154" t="s">
        <v>176</v>
      </c>
      <c r="D42" s="85"/>
      <c r="E42" s="158" t="s">
        <v>184</v>
      </c>
      <c r="F42" s="153" t="s">
        <v>185</v>
      </c>
      <c r="G42" s="153" t="s">
        <v>186</v>
      </c>
      <c r="H42" s="85" t="s">
        <v>72</v>
      </c>
      <c r="I42" s="169" t="s">
        <v>187</v>
      </c>
      <c r="J42" s="170"/>
      <c r="K42" s="163" t="s">
        <v>60</v>
      </c>
      <c r="L42" s="163" t="s">
        <v>36</v>
      </c>
      <c r="M42" s="17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 outlineLevel="1">
      <c r="A43" s="173"/>
      <c r="B43" s="174" t="s">
        <v>73</v>
      </c>
      <c r="C43" s="175" t="s">
        <v>188</v>
      </c>
      <c r="D43" s="176"/>
      <c r="E43" s="177" t="s">
        <v>189</v>
      </c>
      <c r="F43" s="174" t="s">
        <v>190</v>
      </c>
      <c r="G43" s="174" t="s">
        <v>191</v>
      </c>
      <c r="H43" s="178" t="s">
        <v>26</v>
      </c>
      <c r="I43" s="179" t="s">
        <v>192</v>
      </c>
      <c r="J43" s="180" t="s">
        <v>193</v>
      </c>
      <c r="K43" s="176" t="s">
        <v>60</v>
      </c>
      <c r="L43" s="176" t="s">
        <v>36</v>
      </c>
      <c r="M43" s="181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</row>
    <row r="44" ht="15.75" customHeight="1" outlineLevel="1">
      <c r="A44" s="1"/>
      <c r="B44" s="153" t="s">
        <v>73</v>
      </c>
      <c r="C44" s="154" t="s">
        <v>188</v>
      </c>
      <c r="D44" s="85"/>
      <c r="E44" s="158" t="s">
        <v>194</v>
      </c>
      <c r="F44" s="153" t="s">
        <v>195</v>
      </c>
      <c r="G44" s="153" t="s">
        <v>196</v>
      </c>
      <c r="H44" s="160" t="s">
        <v>26</v>
      </c>
      <c r="I44" s="161" t="s">
        <v>197</v>
      </c>
      <c r="J44" s="162">
        <v>46268.0</v>
      </c>
      <c r="K44" s="85" t="s">
        <v>60</v>
      </c>
      <c r="L44" s="85" t="s">
        <v>36</v>
      </c>
      <c r="M44" s="17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 outlineLevel="1">
      <c r="A45" s="1"/>
      <c r="B45" s="153" t="s">
        <v>73</v>
      </c>
      <c r="C45" s="154" t="s">
        <v>188</v>
      </c>
      <c r="D45" s="85"/>
      <c r="E45" s="158" t="s">
        <v>198</v>
      </c>
      <c r="F45" s="153" t="s">
        <v>199</v>
      </c>
      <c r="G45" s="153" t="s">
        <v>200</v>
      </c>
      <c r="H45" s="160" t="s">
        <v>26</v>
      </c>
      <c r="I45" s="161" t="s">
        <v>201</v>
      </c>
      <c r="J45" s="162">
        <v>46268.0</v>
      </c>
      <c r="K45" s="85" t="s">
        <v>60</v>
      </c>
      <c r="L45" s="85" t="s">
        <v>36</v>
      </c>
      <c r="M45" s="17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 outlineLevel="1">
      <c r="A46" s="1"/>
      <c r="B46" s="153" t="s">
        <v>73</v>
      </c>
      <c r="C46" s="154" t="s">
        <v>202</v>
      </c>
      <c r="D46" s="85"/>
      <c r="E46" s="158" t="s">
        <v>203</v>
      </c>
      <c r="F46" s="153" t="s">
        <v>204</v>
      </c>
      <c r="G46" s="153" t="s">
        <v>205</v>
      </c>
      <c r="H46" s="160" t="s">
        <v>26</v>
      </c>
      <c r="I46" s="161" t="s">
        <v>206</v>
      </c>
      <c r="J46" s="162">
        <v>46266.0</v>
      </c>
      <c r="K46" s="163" t="s">
        <v>60</v>
      </c>
      <c r="L46" s="163" t="s">
        <v>36</v>
      </c>
      <c r="M46" s="17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135" t="s">
        <v>207</v>
      </c>
      <c r="C47" s="44"/>
      <c r="D47" s="44"/>
      <c r="E47" s="45"/>
      <c r="F47" s="138"/>
      <c r="G47" s="138"/>
      <c r="H47" s="137" t="s">
        <v>114</v>
      </c>
      <c r="I47" s="171"/>
      <c r="J47" s="137"/>
      <c r="K47" s="137"/>
      <c r="L47" s="137"/>
      <c r="M47" s="5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 outlineLevel="1">
      <c r="A48" s="1"/>
      <c r="B48" s="153" t="s">
        <v>73</v>
      </c>
      <c r="C48" s="154" t="s">
        <v>121</v>
      </c>
      <c r="D48" s="85">
        <v>3.0</v>
      </c>
      <c r="E48" s="158" t="s">
        <v>208</v>
      </c>
      <c r="F48" s="153" t="s">
        <v>124</v>
      </c>
      <c r="G48" s="153" t="s">
        <v>125</v>
      </c>
      <c r="H48" s="160" t="s">
        <v>26</v>
      </c>
      <c r="I48" s="161" t="s">
        <v>209</v>
      </c>
      <c r="J48" s="162">
        <v>46268.0</v>
      </c>
      <c r="K48" s="85" t="s">
        <v>60</v>
      </c>
      <c r="L48" s="85" t="s">
        <v>36</v>
      </c>
      <c r="M48" s="17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 outlineLevel="1">
      <c r="A49" s="1"/>
      <c r="B49" s="153" t="s">
        <v>73</v>
      </c>
      <c r="C49" s="154" t="s">
        <v>121</v>
      </c>
      <c r="D49" s="85"/>
      <c r="E49" s="158" t="s">
        <v>210</v>
      </c>
      <c r="F49" s="153" t="s">
        <v>128</v>
      </c>
      <c r="G49" s="153" t="s">
        <v>129</v>
      </c>
      <c r="H49" s="160" t="s">
        <v>26</v>
      </c>
      <c r="I49" s="161" t="s">
        <v>211</v>
      </c>
      <c r="J49" s="162">
        <v>46268.0</v>
      </c>
      <c r="K49" s="85" t="s">
        <v>60</v>
      </c>
      <c r="L49" s="85" t="s">
        <v>36</v>
      </c>
      <c r="M49" s="17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 outlineLevel="1">
      <c r="A50" s="1"/>
      <c r="B50" s="153" t="s">
        <v>73</v>
      </c>
      <c r="C50" s="154" t="s">
        <v>121</v>
      </c>
      <c r="D50" s="85"/>
      <c r="E50" s="158" t="s">
        <v>212</v>
      </c>
      <c r="F50" s="153" t="s">
        <v>132</v>
      </c>
      <c r="G50" s="153" t="s">
        <v>133</v>
      </c>
      <c r="H50" s="160" t="s">
        <v>26</v>
      </c>
      <c r="I50" s="161" t="s">
        <v>213</v>
      </c>
      <c r="J50" s="162">
        <v>46268.0</v>
      </c>
      <c r="K50" s="85" t="s">
        <v>60</v>
      </c>
      <c r="L50" s="85" t="s">
        <v>36</v>
      </c>
      <c r="M50" s="17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 outlineLevel="1">
      <c r="A51" s="1"/>
      <c r="B51" s="153" t="s">
        <v>73</v>
      </c>
      <c r="C51" s="164" t="s">
        <v>121</v>
      </c>
      <c r="D51" s="85"/>
      <c r="E51" s="158" t="s">
        <v>214</v>
      </c>
      <c r="F51" s="166" t="s">
        <v>136</v>
      </c>
      <c r="G51" s="166" t="s">
        <v>137</v>
      </c>
      <c r="H51" s="160" t="s">
        <v>26</v>
      </c>
      <c r="I51" s="161" t="s">
        <v>215</v>
      </c>
      <c r="J51" s="162">
        <v>46268.0</v>
      </c>
      <c r="K51" s="85" t="s">
        <v>60</v>
      </c>
      <c r="L51" s="85" t="s">
        <v>36</v>
      </c>
      <c r="M51" s="17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 outlineLevel="1">
      <c r="A52" s="1"/>
      <c r="B52" s="153" t="s">
        <v>73</v>
      </c>
      <c r="C52" s="164" t="s">
        <v>121</v>
      </c>
      <c r="D52" s="85"/>
      <c r="E52" s="158" t="s">
        <v>216</v>
      </c>
      <c r="F52" s="166" t="s">
        <v>140</v>
      </c>
      <c r="G52" s="166" t="s">
        <v>141</v>
      </c>
      <c r="H52" s="160" t="s">
        <v>26</v>
      </c>
      <c r="I52" s="161" t="s">
        <v>217</v>
      </c>
      <c r="J52" s="162">
        <v>46268.0</v>
      </c>
      <c r="K52" s="85" t="s">
        <v>60</v>
      </c>
      <c r="L52" s="85" t="s">
        <v>36</v>
      </c>
      <c r="M52" s="17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 outlineLevel="1">
      <c r="A53" s="1"/>
      <c r="B53" s="153" t="s">
        <v>73</v>
      </c>
      <c r="C53" s="154" t="s">
        <v>218</v>
      </c>
      <c r="D53" s="85"/>
      <c r="E53" s="158" t="s">
        <v>219</v>
      </c>
      <c r="F53" s="159" t="s">
        <v>220</v>
      </c>
      <c r="G53" s="153" t="s">
        <v>221</v>
      </c>
      <c r="H53" s="85" t="s">
        <v>72</v>
      </c>
      <c r="I53" s="153" t="s">
        <v>222</v>
      </c>
      <c r="J53" s="170"/>
      <c r="K53" s="163" t="s">
        <v>60</v>
      </c>
      <c r="L53" s="163" t="s">
        <v>36</v>
      </c>
      <c r="M53" s="17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 outlineLevel="1">
      <c r="A54" s="1"/>
      <c r="B54" s="153" t="s">
        <v>73</v>
      </c>
      <c r="C54" s="154" t="s">
        <v>218</v>
      </c>
      <c r="D54" s="85"/>
      <c r="E54" s="158" t="s">
        <v>223</v>
      </c>
      <c r="F54" s="159" t="s">
        <v>224</v>
      </c>
      <c r="G54" s="153" t="s">
        <v>221</v>
      </c>
      <c r="H54" s="160" t="s">
        <v>26</v>
      </c>
      <c r="I54" s="161" t="s">
        <v>225</v>
      </c>
      <c r="J54" s="162">
        <v>46268.0</v>
      </c>
      <c r="K54" s="163" t="s">
        <v>60</v>
      </c>
      <c r="L54" s="163" t="s">
        <v>36</v>
      </c>
      <c r="M54" s="17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 outlineLevel="1">
      <c r="A55" s="1"/>
      <c r="B55" s="153" t="s">
        <v>73</v>
      </c>
      <c r="C55" s="154" t="s">
        <v>218</v>
      </c>
      <c r="D55" s="85"/>
      <c r="E55" s="158" t="s">
        <v>226</v>
      </c>
      <c r="F55" s="159" t="s">
        <v>185</v>
      </c>
      <c r="G55" s="153" t="s">
        <v>227</v>
      </c>
      <c r="H55" s="160" t="s">
        <v>72</v>
      </c>
      <c r="I55" s="153" t="s">
        <v>228</v>
      </c>
      <c r="J55" s="170"/>
      <c r="K55" s="163" t="s">
        <v>60</v>
      </c>
      <c r="L55" s="163" t="s">
        <v>36</v>
      </c>
      <c r="M55" s="17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 outlineLevel="1">
      <c r="A56" s="1"/>
      <c r="B56" s="153" t="s">
        <v>73</v>
      </c>
      <c r="C56" s="154" t="s">
        <v>229</v>
      </c>
      <c r="D56" s="85"/>
      <c r="E56" s="158" t="s">
        <v>230</v>
      </c>
      <c r="F56" s="159" t="s">
        <v>231</v>
      </c>
      <c r="G56" s="153" t="s">
        <v>232</v>
      </c>
      <c r="H56" s="160" t="s">
        <v>72</v>
      </c>
      <c r="I56" s="153" t="s">
        <v>222</v>
      </c>
      <c r="J56" s="170"/>
      <c r="K56" s="163" t="s">
        <v>60</v>
      </c>
      <c r="L56" s="163" t="s">
        <v>36</v>
      </c>
      <c r="M56" s="17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 outlineLevel="1">
      <c r="A57" s="1"/>
      <c r="B57" s="153" t="s">
        <v>73</v>
      </c>
      <c r="C57" s="154" t="s">
        <v>229</v>
      </c>
      <c r="D57" s="85"/>
      <c r="E57" s="158" t="s">
        <v>233</v>
      </c>
      <c r="F57" s="153" t="s">
        <v>234</v>
      </c>
      <c r="G57" s="153" t="s">
        <v>232</v>
      </c>
      <c r="H57" s="160" t="s">
        <v>26</v>
      </c>
      <c r="I57" s="161" t="s">
        <v>235</v>
      </c>
      <c r="J57" s="162">
        <v>46268.0</v>
      </c>
      <c r="K57" s="163" t="s">
        <v>60</v>
      </c>
      <c r="L57" s="163" t="s">
        <v>36</v>
      </c>
      <c r="M57" s="17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 outlineLevel="1">
      <c r="A58" s="1"/>
      <c r="B58" s="153" t="s">
        <v>73</v>
      </c>
      <c r="C58" s="154" t="s">
        <v>229</v>
      </c>
      <c r="D58" s="85"/>
      <c r="E58" s="158" t="s">
        <v>236</v>
      </c>
      <c r="F58" s="153" t="s">
        <v>195</v>
      </c>
      <c r="G58" s="153" t="s">
        <v>237</v>
      </c>
      <c r="H58" s="160" t="s">
        <v>26</v>
      </c>
      <c r="I58" s="161" t="s">
        <v>238</v>
      </c>
      <c r="J58" s="162">
        <v>46268.0</v>
      </c>
      <c r="K58" s="163" t="s">
        <v>60</v>
      </c>
      <c r="L58" s="163" t="s">
        <v>36</v>
      </c>
      <c r="M58" s="17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 outlineLevel="1">
      <c r="A59" s="1"/>
      <c r="B59" s="153" t="s">
        <v>73</v>
      </c>
      <c r="C59" s="154" t="s">
        <v>229</v>
      </c>
      <c r="D59" s="85"/>
      <c r="E59" s="158" t="s">
        <v>239</v>
      </c>
      <c r="F59" s="153" t="s">
        <v>199</v>
      </c>
      <c r="G59" s="153" t="s">
        <v>240</v>
      </c>
      <c r="H59" s="160" t="s">
        <v>26</v>
      </c>
      <c r="I59" s="161" t="s">
        <v>241</v>
      </c>
      <c r="J59" s="162">
        <v>46268.0</v>
      </c>
      <c r="K59" s="163" t="s">
        <v>60</v>
      </c>
      <c r="L59" s="163" t="s">
        <v>36</v>
      </c>
      <c r="M59" s="17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 outlineLevel="1">
      <c r="A60" s="1"/>
      <c r="B60" s="153" t="s">
        <v>73</v>
      </c>
      <c r="C60" s="154" t="s">
        <v>202</v>
      </c>
      <c r="D60" s="85"/>
      <c r="E60" s="158" t="s">
        <v>242</v>
      </c>
      <c r="F60" s="153" t="s">
        <v>243</v>
      </c>
      <c r="G60" s="153" t="s">
        <v>205</v>
      </c>
      <c r="H60" s="160" t="s">
        <v>26</v>
      </c>
      <c r="I60" s="161" t="s">
        <v>244</v>
      </c>
      <c r="J60" s="162">
        <v>46268.0</v>
      </c>
      <c r="K60" s="163" t="s">
        <v>60</v>
      </c>
      <c r="L60" s="163" t="s">
        <v>36</v>
      </c>
      <c r="M60" s="17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135" t="s">
        <v>245</v>
      </c>
      <c r="C61" s="44"/>
      <c r="D61" s="44"/>
      <c r="E61" s="45"/>
      <c r="F61" s="138"/>
      <c r="G61" s="138"/>
      <c r="H61" s="138"/>
      <c r="I61" s="171"/>
      <c r="J61" s="137"/>
      <c r="K61" s="137"/>
      <c r="L61" s="137"/>
      <c r="M61" s="5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 outlineLevel="1">
      <c r="A62" s="1"/>
      <c r="B62" s="153" t="s">
        <v>73</v>
      </c>
      <c r="C62" s="154" t="s">
        <v>121</v>
      </c>
      <c r="D62" s="85">
        <v>4.0</v>
      </c>
      <c r="E62" s="158" t="s">
        <v>246</v>
      </c>
      <c r="F62" s="153" t="s">
        <v>124</v>
      </c>
      <c r="G62" s="153" t="s">
        <v>125</v>
      </c>
      <c r="H62" s="160" t="s">
        <v>26</v>
      </c>
      <c r="I62" s="161" t="s">
        <v>247</v>
      </c>
      <c r="J62" s="162">
        <v>46267.0</v>
      </c>
      <c r="K62" s="163" t="s">
        <v>60</v>
      </c>
      <c r="L62" s="163" t="s">
        <v>36</v>
      </c>
      <c r="M62" s="17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 outlineLevel="1">
      <c r="A63" s="1"/>
      <c r="B63" s="153" t="s">
        <v>73</v>
      </c>
      <c r="C63" s="154" t="s">
        <v>121</v>
      </c>
      <c r="D63" s="85"/>
      <c r="E63" s="158" t="s">
        <v>248</v>
      </c>
      <c r="F63" s="153" t="s">
        <v>128</v>
      </c>
      <c r="G63" s="153" t="s">
        <v>129</v>
      </c>
      <c r="H63" s="160" t="s">
        <v>26</v>
      </c>
      <c r="I63" s="161" t="s">
        <v>249</v>
      </c>
      <c r="J63" s="162">
        <v>46267.0</v>
      </c>
      <c r="K63" s="163" t="s">
        <v>60</v>
      </c>
      <c r="L63" s="163" t="s">
        <v>36</v>
      </c>
      <c r="M63" s="17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 outlineLevel="1">
      <c r="A64" s="1"/>
      <c r="B64" s="153" t="s">
        <v>73</v>
      </c>
      <c r="C64" s="154" t="s">
        <v>121</v>
      </c>
      <c r="D64" s="85"/>
      <c r="E64" s="158" t="s">
        <v>250</v>
      </c>
      <c r="F64" s="153" t="s">
        <v>132</v>
      </c>
      <c r="G64" s="153" t="s">
        <v>133</v>
      </c>
      <c r="H64" s="160" t="s">
        <v>26</v>
      </c>
      <c r="I64" s="161" t="s">
        <v>251</v>
      </c>
      <c r="J64" s="162">
        <v>46267.0</v>
      </c>
      <c r="K64" s="163" t="s">
        <v>60</v>
      </c>
      <c r="L64" s="163" t="s">
        <v>36</v>
      </c>
      <c r="M64" s="17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 outlineLevel="1">
      <c r="A65" s="1"/>
      <c r="B65" s="153" t="s">
        <v>73</v>
      </c>
      <c r="C65" s="164" t="s">
        <v>121</v>
      </c>
      <c r="D65" s="85"/>
      <c r="E65" s="158" t="s">
        <v>252</v>
      </c>
      <c r="F65" s="166" t="s">
        <v>136</v>
      </c>
      <c r="G65" s="166" t="s">
        <v>137</v>
      </c>
      <c r="H65" s="160" t="s">
        <v>26</v>
      </c>
      <c r="I65" s="161" t="s">
        <v>253</v>
      </c>
      <c r="J65" s="162">
        <v>46267.0</v>
      </c>
      <c r="K65" s="163" t="s">
        <v>60</v>
      </c>
      <c r="L65" s="163" t="s">
        <v>36</v>
      </c>
      <c r="M65" s="17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 outlineLevel="1">
      <c r="A66" s="1"/>
      <c r="B66" s="153" t="s">
        <v>73</v>
      </c>
      <c r="C66" s="164" t="s">
        <v>121</v>
      </c>
      <c r="D66" s="85"/>
      <c r="E66" s="158" t="s">
        <v>254</v>
      </c>
      <c r="F66" s="166" t="s">
        <v>140</v>
      </c>
      <c r="G66" s="166" t="s">
        <v>141</v>
      </c>
      <c r="H66" s="160" t="s">
        <v>26</v>
      </c>
      <c r="I66" s="179" t="s">
        <v>255</v>
      </c>
      <c r="J66" s="162">
        <v>46268.0</v>
      </c>
      <c r="K66" s="163" t="s">
        <v>60</v>
      </c>
      <c r="L66" s="163" t="s">
        <v>36</v>
      </c>
      <c r="M66" s="17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 outlineLevel="1">
      <c r="A67" s="1"/>
      <c r="B67" s="153" t="s">
        <v>73</v>
      </c>
      <c r="C67" s="154" t="s">
        <v>218</v>
      </c>
      <c r="D67" s="85"/>
      <c r="E67" s="158" t="s">
        <v>256</v>
      </c>
      <c r="F67" s="159" t="s">
        <v>220</v>
      </c>
      <c r="G67" s="153" t="s">
        <v>221</v>
      </c>
      <c r="H67" s="160" t="s">
        <v>26</v>
      </c>
      <c r="I67" s="161" t="s">
        <v>257</v>
      </c>
      <c r="J67" s="162">
        <v>46268.0</v>
      </c>
      <c r="K67" s="163" t="s">
        <v>60</v>
      </c>
      <c r="L67" s="163" t="s">
        <v>36</v>
      </c>
      <c r="M67" s="17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 outlineLevel="1">
      <c r="A68" s="1"/>
      <c r="B68" s="153" t="s">
        <v>73</v>
      </c>
      <c r="C68" s="154" t="s">
        <v>218</v>
      </c>
      <c r="D68" s="85"/>
      <c r="E68" s="158" t="s">
        <v>258</v>
      </c>
      <c r="F68" s="159" t="s">
        <v>224</v>
      </c>
      <c r="G68" s="153" t="s">
        <v>221</v>
      </c>
      <c r="H68" s="160" t="s">
        <v>72</v>
      </c>
      <c r="I68" s="153" t="s">
        <v>259</v>
      </c>
      <c r="J68" s="170"/>
      <c r="K68" s="163" t="s">
        <v>60</v>
      </c>
      <c r="L68" s="163" t="s">
        <v>36</v>
      </c>
      <c r="M68" s="17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 outlineLevel="1">
      <c r="A69" s="1"/>
      <c r="B69" s="153" t="s">
        <v>73</v>
      </c>
      <c r="C69" s="154" t="s">
        <v>218</v>
      </c>
      <c r="D69" s="85"/>
      <c r="E69" s="158" t="s">
        <v>260</v>
      </c>
      <c r="F69" s="159" t="s">
        <v>185</v>
      </c>
      <c r="G69" s="153" t="s">
        <v>227</v>
      </c>
      <c r="H69" s="160" t="s">
        <v>72</v>
      </c>
      <c r="I69" s="153" t="s">
        <v>228</v>
      </c>
      <c r="J69" s="170"/>
      <c r="K69" s="163" t="s">
        <v>60</v>
      </c>
      <c r="L69" s="163" t="s">
        <v>36</v>
      </c>
      <c r="M69" s="17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 outlineLevel="1">
      <c r="A70" s="1"/>
      <c r="B70" s="153" t="s">
        <v>73</v>
      </c>
      <c r="C70" s="154" t="s">
        <v>229</v>
      </c>
      <c r="D70" s="85"/>
      <c r="E70" s="158" t="s">
        <v>261</v>
      </c>
      <c r="F70" s="159" t="s">
        <v>231</v>
      </c>
      <c r="G70" s="153" t="s">
        <v>232</v>
      </c>
      <c r="H70" s="160" t="s">
        <v>26</v>
      </c>
      <c r="I70" s="179" t="s">
        <v>262</v>
      </c>
      <c r="J70" s="162">
        <v>46268.0</v>
      </c>
      <c r="K70" s="163" t="s">
        <v>60</v>
      </c>
      <c r="L70" s="163" t="s">
        <v>36</v>
      </c>
      <c r="M70" s="17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 outlineLevel="1">
      <c r="A71" s="1"/>
      <c r="B71" s="153" t="s">
        <v>73</v>
      </c>
      <c r="C71" s="154" t="s">
        <v>229</v>
      </c>
      <c r="D71" s="85"/>
      <c r="E71" s="158" t="s">
        <v>263</v>
      </c>
      <c r="F71" s="159" t="s">
        <v>234</v>
      </c>
      <c r="G71" s="153" t="s">
        <v>232</v>
      </c>
      <c r="H71" s="160" t="s">
        <v>72</v>
      </c>
      <c r="I71" s="153" t="s">
        <v>259</v>
      </c>
      <c r="J71" s="170"/>
      <c r="K71" s="163" t="s">
        <v>60</v>
      </c>
      <c r="L71" s="163" t="s">
        <v>36</v>
      </c>
      <c r="M71" s="17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 outlineLevel="1">
      <c r="A72" s="1"/>
      <c r="B72" s="153" t="s">
        <v>73</v>
      </c>
      <c r="C72" s="154" t="s">
        <v>229</v>
      </c>
      <c r="D72" s="85"/>
      <c r="E72" s="158" t="s">
        <v>264</v>
      </c>
      <c r="F72" s="159" t="s">
        <v>265</v>
      </c>
      <c r="G72" s="153" t="s">
        <v>237</v>
      </c>
      <c r="H72" s="160" t="s">
        <v>26</v>
      </c>
      <c r="I72" s="161" t="s">
        <v>266</v>
      </c>
      <c r="J72" s="162">
        <v>46268.0</v>
      </c>
      <c r="K72" s="163" t="s">
        <v>60</v>
      </c>
      <c r="L72" s="163" t="s">
        <v>36</v>
      </c>
      <c r="M72" s="17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 outlineLevel="1">
      <c r="A73" s="1"/>
      <c r="B73" s="153" t="s">
        <v>73</v>
      </c>
      <c r="C73" s="154" t="s">
        <v>229</v>
      </c>
      <c r="D73" s="85"/>
      <c r="E73" s="158" t="s">
        <v>267</v>
      </c>
      <c r="F73" s="159" t="s">
        <v>199</v>
      </c>
      <c r="G73" s="153" t="s">
        <v>240</v>
      </c>
      <c r="H73" s="160" t="s">
        <v>26</v>
      </c>
      <c r="I73" s="179" t="s">
        <v>268</v>
      </c>
      <c r="J73" s="162">
        <v>46268.0</v>
      </c>
      <c r="K73" s="163" t="s">
        <v>60</v>
      </c>
      <c r="L73" s="163" t="s">
        <v>36</v>
      </c>
      <c r="M73" s="17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 outlineLevel="1">
      <c r="A74" s="1"/>
      <c r="B74" s="153" t="s">
        <v>73</v>
      </c>
      <c r="C74" s="154" t="s">
        <v>202</v>
      </c>
      <c r="D74" s="85"/>
      <c r="E74" s="158" t="s">
        <v>269</v>
      </c>
      <c r="F74" s="159" t="s">
        <v>243</v>
      </c>
      <c r="G74" s="153" t="s">
        <v>205</v>
      </c>
      <c r="H74" s="160" t="s">
        <v>26</v>
      </c>
      <c r="I74" s="161" t="s">
        <v>270</v>
      </c>
      <c r="J74" s="162">
        <v>46268.0</v>
      </c>
      <c r="K74" s="163" t="s">
        <v>60</v>
      </c>
      <c r="L74" s="163" t="s">
        <v>36</v>
      </c>
      <c r="M74" s="17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135" t="s">
        <v>271</v>
      </c>
      <c r="C75" s="44"/>
      <c r="D75" s="44"/>
      <c r="E75" s="45"/>
      <c r="F75" s="138"/>
      <c r="G75" s="138"/>
      <c r="H75" s="138"/>
      <c r="I75" s="171"/>
      <c r="J75" s="141"/>
      <c r="K75" s="137"/>
      <c r="L75" s="137"/>
      <c r="M75" s="5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 outlineLevel="1">
      <c r="A76" s="1"/>
      <c r="B76" s="153" t="s">
        <v>73</v>
      </c>
      <c r="C76" s="85" t="s">
        <v>121</v>
      </c>
      <c r="D76" s="85">
        <v>5.0</v>
      </c>
      <c r="E76" s="158" t="s">
        <v>272</v>
      </c>
      <c r="F76" s="159" t="s">
        <v>124</v>
      </c>
      <c r="G76" s="153" t="s">
        <v>125</v>
      </c>
      <c r="H76" s="160" t="s">
        <v>26</v>
      </c>
      <c r="I76" s="161" t="s">
        <v>273</v>
      </c>
      <c r="J76" s="162">
        <v>46267.0</v>
      </c>
      <c r="K76" s="163" t="s">
        <v>60</v>
      </c>
      <c r="L76" s="163" t="s">
        <v>36</v>
      </c>
      <c r="M76" s="17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 outlineLevel="1">
      <c r="A77" s="1"/>
      <c r="B77" s="153" t="s">
        <v>73</v>
      </c>
      <c r="C77" s="85" t="s">
        <v>121</v>
      </c>
      <c r="D77" s="85"/>
      <c r="E77" s="158" t="s">
        <v>274</v>
      </c>
      <c r="F77" s="159" t="s">
        <v>128</v>
      </c>
      <c r="G77" s="153" t="s">
        <v>129</v>
      </c>
      <c r="H77" s="160" t="s">
        <v>26</v>
      </c>
      <c r="I77" s="161" t="s">
        <v>275</v>
      </c>
      <c r="J77" s="162">
        <v>46267.0</v>
      </c>
      <c r="K77" s="163" t="s">
        <v>60</v>
      </c>
      <c r="L77" s="163" t="s">
        <v>36</v>
      </c>
      <c r="M77" s="17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 outlineLevel="1">
      <c r="A78" s="1"/>
      <c r="B78" s="153" t="s">
        <v>73</v>
      </c>
      <c r="C78" s="85" t="s">
        <v>121</v>
      </c>
      <c r="D78" s="85"/>
      <c r="E78" s="158" t="s">
        <v>276</v>
      </c>
      <c r="F78" s="159" t="s">
        <v>132</v>
      </c>
      <c r="G78" s="153" t="s">
        <v>133</v>
      </c>
      <c r="H78" s="160" t="s">
        <v>26</v>
      </c>
      <c r="I78" s="161" t="s">
        <v>277</v>
      </c>
      <c r="J78" s="162">
        <v>46267.0</v>
      </c>
      <c r="K78" s="163" t="s">
        <v>60</v>
      </c>
      <c r="L78" s="163" t="s">
        <v>36</v>
      </c>
      <c r="M78" s="17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 outlineLevel="1">
      <c r="A79" s="1"/>
      <c r="B79" s="153" t="s">
        <v>73</v>
      </c>
      <c r="C79" s="182" t="s">
        <v>121</v>
      </c>
      <c r="D79" s="85"/>
      <c r="E79" s="158" t="s">
        <v>278</v>
      </c>
      <c r="F79" s="165" t="s">
        <v>136</v>
      </c>
      <c r="G79" s="166" t="s">
        <v>137</v>
      </c>
      <c r="H79" s="160" t="s">
        <v>26</v>
      </c>
      <c r="I79" s="161" t="s">
        <v>279</v>
      </c>
      <c r="J79" s="162">
        <v>46267.0</v>
      </c>
      <c r="K79" s="163" t="s">
        <v>60</v>
      </c>
      <c r="L79" s="163" t="s">
        <v>36</v>
      </c>
      <c r="M79" s="17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 outlineLevel="1">
      <c r="A80" s="1"/>
      <c r="B80" s="153" t="s">
        <v>73</v>
      </c>
      <c r="C80" s="182" t="s">
        <v>121</v>
      </c>
      <c r="D80" s="85"/>
      <c r="E80" s="158" t="s">
        <v>280</v>
      </c>
      <c r="F80" s="165" t="s">
        <v>140</v>
      </c>
      <c r="G80" s="166" t="s">
        <v>141</v>
      </c>
      <c r="H80" s="160" t="s">
        <v>26</v>
      </c>
      <c r="I80" s="161" t="s">
        <v>281</v>
      </c>
      <c r="J80" s="162">
        <v>46267.0</v>
      </c>
      <c r="K80" s="163" t="s">
        <v>60</v>
      </c>
      <c r="L80" s="163" t="s">
        <v>36</v>
      </c>
      <c r="M80" s="17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 outlineLevel="1">
      <c r="A81" s="1"/>
      <c r="B81" s="153" t="s">
        <v>73</v>
      </c>
      <c r="C81" s="85" t="s">
        <v>218</v>
      </c>
      <c r="D81" s="85"/>
      <c r="E81" s="158" t="s">
        <v>282</v>
      </c>
      <c r="F81" s="159" t="s">
        <v>220</v>
      </c>
      <c r="G81" s="153" t="s">
        <v>221</v>
      </c>
      <c r="H81" s="85" t="s">
        <v>72</v>
      </c>
      <c r="I81" s="153" t="s">
        <v>222</v>
      </c>
      <c r="J81" s="170"/>
      <c r="K81" s="163" t="s">
        <v>60</v>
      </c>
      <c r="L81" s="163" t="s">
        <v>36</v>
      </c>
      <c r="M81" s="17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 outlineLevel="1">
      <c r="A82" s="1"/>
      <c r="B82" s="153" t="s">
        <v>73</v>
      </c>
      <c r="C82" s="85" t="s">
        <v>218</v>
      </c>
      <c r="D82" s="85"/>
      <c r="E82" s="158" t="s">
        <v>283</v>
      </c>
      <c r="F82" s="159" t="s">
        <v>224</v>
      </c>
      <c r="G82" s="153" t="s">
        <v>221</v>
      </c>
      <c r="H82" s="160" t="s">
        <v>26</v>
      </c>
      <c r="I82" s="161" t="s">
        <v>284</v>
      </c>
      <c r="J82" s="162">
        <v>46268.0</v>
      </c>
      <c r="K82" s="163" t="s">
        <v>60</v>
      </c>
      <c r="L82" s="163" t="s">
        <v>36</v>
      </c>
      <c r="M82" s="17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 outlineLevel="1">
      <c r="A83" s="1"/>
      <c r="B83" s="153" t="s">
        <v>73</v>
      </c>
      <c r="C83" s="85" t="s">
        <v>218</v>
      </c>
      <c r="D83" s="85"/>
      <c r="E83" s="158" t="s">
        <v>285</v>
      </c>
      <c r="F83" s="159" t="s">
        <v>185</v>
      </c>
      <c r="G83" s="153" t="s">
        <v>227</v>
      </c>
      <c r="H83" s="85" t="s">
        <v>72</v>
      </c>
      <c r="I83" s="153" t="s">
        <v>228</v>
      </c>
      <c r="J83" s="170"/>
      <c r="K83" s="163" t="s">
        <v>60</v>
      </c>
      <c r="L83" s="163" t="s">
        <v>36</v>
      </c>
      <c r="M83" s="17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 outlineLevel="1">
      <c r="A84" s="1"/>
      <c r="B84" s="153" t="s">
        <v>73</v>
      </c>
      <c r="C84" s="85" t="s">
        <v>286</v>
      </c>
      <c r="D84" s="85"/>
      <c r="E84" s="158" t="s">
        <v>287</v>
      </c>
      <c r="F84" s="159" t="s">
        <v>288</v>
      </c>
      <c r="G84" s="153" t="s">
        <v>289</v>
      </c>
      <c r="H84" s="85" t="s">
        <v>72</v>
      </c>
      <c r="I84" s="153" t="s">
        <v>222</v>
      </c>
      <c r="J84" s="170"/>
      <c r="K84" s="163" t="s">
        <v>60</v>
      </c>
      <c r="L84" s="163" t="s">
        <v>36</v>
      </c>
      <c r="M84" s="17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 outlineLevel="1">
      <c r="A85" s="1"/>
      <c r="B85" s="153" t="s">
        <v>73</v>
      </c>
      <c r="C85" s="85" t="s">
        <v>286</v>
      </c>
      <c r="D85" s="85"/>
      <c r="E85" s="158" t="s">
        <v>290</v>
      </c>
      <c r="F85" s="159" t="s">
        <v>291</v>
      </c>
      <c r="G85" s="153" t="s">
        <v>289</v>
      </c>
      <c r="H85" s="160" t="s">
        <v>26</v>
      </c>
      <c r="I85" s="161" t="s">
        <v>292</v>
      </c>
      <c r="J85" s="162">
        <v>46268.0</v>
      </c>
      <c r="K85" s="163" t="s">
        <v>60</v>
      </c>
      <c r="L85" s="163" t="s">
        <v>36</v>
      </c>
      <c r="M85" s="17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 outlineLevel="1">
      <c r="A86" s="1"/>
      <c r="B86" s="153" t="s">
        <v>73</v>
      </c>
      <c r="C86" s="85" t="s">
        <v>286</v>
      </c>
      <c r="D86" s="85"/>
      <c r="E86" s="158" t="s">
        <v>293</v>
      </c>
      <c r="F86" s="159" t="s">
        <v>195</v>
      </c>
      <c r="G86" s="153" t="s">
        <v>294</v>
      </c>
      <c r="H86" s="160" t="s">
        <v>26</v>
      </c>
      <c r="I86" s="161" t="s">
        <v>295</v>
      </c>
      <c r="J86" s="162">
        <v>46267.0</v>
      </c>
      <c r="K86" s="163" t="s">
        <v>60</v>
      </c>
      <c r="L86" s="163" t="s">
        <v>36</v>
      </c>
      <c r="M86" s="17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 outlineLevel="1">
      <c r="A87" s="1"/>
      <c r="B87" s="153" t="s">
        <v>73</v>
      </c>
      <c r="C87" s="85" t="s">
        <v>286</v>
      </c>
      <c r="D87" s="85"/>
      <c r="E87" s="158" t="s">
        <v>296</v>
      </c>
      <c r="F87" s="159" t="s">
        <v>199</v>
      </c>
      <c r="G87" s="153" t="s">
        <v>297</v>
      </c>
      <c r="H87" s="160" t="s">
        <v>26</v>
      </c>
      <c r="I87" s="161" t="s">
        <v>298</v>
      </c>
      <c r="J87" s="162">
        <v>46268.0</v>
      </c>
      <c r="K87" s="163" t="s">
        <v>60</v>
      </c>
      <c r="L87" s="163" t="s">
        <v>36</v>
      </c>
      <c r="M87" s="17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 outlineLevel="1">
      <c r="A88" s="1"/>
      <c r="B88" s="153" t="s">
        <v>73</v>
      </c>
      <c r="C88" s="85" t="s">
        <v>202</v>
      </c>
      <c r="D88" s="85"/>
      <c r="E88" s="158" t="s">
        <v>299</v>
      </c>
      <c r="F88" s="159" t="s">
        <v>300</v>
      </c>
      <c r="G88" s="153" t="s">
        <v>205</v>
      </c>
      <c r="H88" s="160" t="s">
        <v>26</v>
      </c>
      <c r="I88" s="161" t="s">
        <v>301</v>
      </c>
      <c r="J88" s="162">
        <v>46268.0</v>
      </c>
      <c r="K88" s="163" t="s">
        <v>60</v>
      </c>
      <c r="L88" s="163" t="s">
        <v>36</v>
      </c>
      <c r="M88" s="17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 outlineLevel="1">
      <c r="A89" s="1"/>
      <c r="B89" s="153" t="s">
        <v>73</v>
      </c>
      <c r="C89" s="67" t="s">
        <v>302</v>
      </c>
      <c r="D89" s="85"/>
      <c r="E89" s="158" t="s">
        <v>303</v>
      </c>
      <c r="F89" s="183" t="s">
        <v>304</v>
      </c>
      <c r="G89" s="184" t="s">
        <v>305</v>
      </c>
      <c r="H89" s="85" t="s">
        <v>72</v>
      </c>
      <c r="I89" s="185" t="s">
        <v>306</v>
      </c>
      <c r="J89" s="170"/>
      <c r="K89" s="163" t="s">
        <v>60</v>
      </c>
      <c r="L89" s="163" t="s">
        <v>36</v>
      </c>
      <c r="M89" s="17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 outlineLevel="1">
      <c r="A90" s="1"/>
      <c r="B90" s="153" t="s">
        <v>73</v>
      </c>
      <c r="C90" s="85" t="s">
        <v>302</v>
      </c>
      <c r="D90" s="85"/>
      <c r="E90" s="158" t="s">
        <v>307</v>
      </c>
      <c r="F90" s="159" t="s">
        <v>308</v>
      </c>
      <c r="G90" s="153" t="s">
        <v>305</v>
      </c>
      <c r="H90" s="85" t="s">
        <v>72</v>
      </c>
      <c r="I90" s="185" t="s">
        <v>306</v>
      </c>
      <c r="J90" s="170"/>
      <c r="K90" s="163" t="s">
        <v>60</v>
      </c>
      <c r="L90" s="163" t="s">
        <v>36</v>
      </c>
      <c r="M90" s="17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135" t="s">
        <v>309</v>
      </c>
      <c r="C91" s="44"/>
      <c r="D91" s="44"/>
      <c r="E91" s="45"/>
      <c r="F91" s="138"/>
      <c r="G91" s="138"/>
      <c r="H91" s="138"/>
      <c r="I91" s="171"/>
      <c r="J91" s="141"/>
      <c r="K91" s="137"/>
      <c r="L91" s="137"/>
      <c r="M91" s="5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 outlineLevel="1">
      <c r="A92" s="1"/>
      <c r="B92" s="153" t="s">
        <v>73</v>
      </c>
      <c r="C92" s="85" t="s">
        <v>121</v>
      </c>
      <c r="D92" s="85">
        <v>6.0</v>
      </c>
      <c r="E92" s="158" t="s">
        <v>310</v>
      </c>
      <c r="F92" s="159" t="s">
        <v>124</v>
      </c>
      <c r="G92" s="153" t="s">
        <v>125</v>
      </c>
      <c r="H92" s="160" t="s">
        <v>26</v>
      </c>
      <c r="I92" s="161" t="s">
        <v>311</v>
      </c>
      <c r="J92" s="162">
        <v>46267.0</v>
      </c>
      <c r="K92" s="163" t="s">
        <v>60</v>
      </c>
      <c r="L92" s="163" t="s">
        <v>36</v>
      </c>
      <c r="M92" s="17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 outlineLevel="1">
      <c r="A93" s="1"/>
      <c r="B93" s="153" t="s">
        <v>73</v>
      </c>
      <c r="C93" s="85" t="s">
        <v>121</v>
      </c>
      <c r="D93" s="85"/>
      <c r="E93" s="158" t="s">
        <v>312</v>
      </c>
      <c r="F93" s="159" t="s">
        <v>128</v>
      </c>
      <c r="G93" s="153" t="s">
        <v>129</v>
      </c>
      <c r="H93" s="160" t="s">
        <v>26</v>
      </c>
      <c r="I93" s="161" t="s">
        <v>313</v>
      </c>
      <c r="J93" s="162">
        <v>46267.0</v>
      </c>
      <c r="K93" s="163" t="s">
        <v>60</v>
      </c>
      <c r="L93" s="163" t="s">
        <v>36</v>
      </c>
      <c r="M93" s="17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 outlineLevel="1">
      <c r="A94" s="1"/>
      <c r="B94" s="153" t="s">
        <v>73</v>
      </c>
      <c r="C94" s="85" t="s">
        <v>121</v>
      </c>
      <c r="D94" s="85"/>
      <c r="E94" s="158" t="s">
        <v>314</v>
      </c>
      <c r="F94" s="159" t="s">
        <v>132</v>
      </c>
      <c r="G94" s="153" t="s">
        <v>133</v>
      </c>
      <c r="H94" s="160" t="s">
        <v>26</v>
      </c>
      <c r="I94" s="161" t="s">
        <v>315</v>
      </c>
      <c r="J94" s="162">
        <v>46267.0</v>
      </c>
      <c r="K94" s="163" t="s">
        <v>60</v>
      </c>
      <c r="L94" s="163" t="s">
        <v>36</v>
      </c>
      <c r="M94" s="17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 outlineLevel="1">
      <c r="A95" s="1"/>
      <c r="B95" s="153" t="s">
        <v>73</v>
      </c>
      <c r="C95" s="182" t="s">
        <v>121</v>
      </c>
      <c r="D95" s="85"/>
      <c r="E95" s="158" t="s">
        <v>316</v>
      </c>
      <c r="F95" s="165" t="s">
        <v>136</v>
      </c>
      <c r="G95" s="166" t="s">
        <v>137</v>
      </c>
      <c r="H95" s="160" t="s">
        <v>26</v>
      </c>
      <c r="I95" s="161" t="s">
        <v>317</v>
      </c>
      <c r="J95" s="162">
        <v>46267.0</v>
      </c>
      <c r="K95" s="163" t="s">
        <v>60</v>
      </c>
      <c r="L95" s="163" t="s">
        <v>36</v>
      </c>
      <c r="M95" s="17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 outlineLevel="1">
      <c r="A96" s="1"/>
      <c r="B96" s="153" t="s">
        <v>73</v>
      </c>
      <c r="C96" s="182" t="s">
        <v>121</v>
      </c>
      <c r="D96" s="85"/>
      <c r="E96" s="158" t="s">
        <v>318</v>
      </c>
      <c r="F96" s="165" t="s">
        <v>140</v>
      </c>
      <c r="G96" s="166" t="s">
        <v>141</v>
      </c>
      <c r="H96" s="160" t="s">
        <v>26</v>
      </c>
      <c r="I96" s="161" t="s">
        <v>319</v>
      </c>
      <c r="J96" s="162">
        <v>46267.0</v>
      </c>
      <c r="K96" s="163" t="s">
        <v>60</v>
      </c>
      <c r="L96" s="163" t="s">
        <v>36</v>
      </c>
      <c r="M96" s="17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 outlineLevel="1">
      <c r="A97" s="1"/>
      <c r="B97" s="153" t="s">
        <v>73</v>
      </c>
      <c r="C97" s="85" t="s">
        <v>218</v>
      </c>
      <c r="D97" s="85"/>
      <c r="E97" s="158" t="s">
        <v>320</v>
      </c>
      <c r="F97" s="159" t="s">
        <v>220</v>
      </c>
      <c r="G97" s="153" t="s">
        <v>221</v>
      </c>
      <c r="H97" s="85" t="s">
        <v>72</v>
      </c>
      <c r="I97" s="153" t="s">
        <v>222</v>
      </c>
      <c r="J97" s="170"/>
      <c r="K97" s="163" t="s">
        <v>60</v>
      </c>
      <c r="L97" s="163" t="s">
        <v>36</v>
      </c>
      <c r="M97" s="17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 outlineLevel="1">
      <c r="A98" s="1"/>
      <c r="B98" s="153" t="s">
        <v>73</v>
      </c>
      <c r="C98" s="85" t="s">
        <v>218</v>
      </c>
      <c r="D98" s="85"/>
      <c r="E98" s="158" t="s">
        <v>321</v>
      </c>
      <c r="F98" s="159" t="s">
        <v>224</v>
      </c>
      <c r="G98" s="153" t="s">
        <v>221</v>
      </c>
      <c r="H98" s="160" t="s">
        <v>26</v>
      </c>
      <c r="I98" s="161" t="s">
        <v>284</v>
      </c>
      <c r="J98" s="162">
        <v>46268.0</v>
      </c>
      <c r="K98" s="163" t="s">
        <v>60</v>
      </c>
      <c r="L98" s="163" t="s">
        <v>36</v>
      </c>
      <c r="M98" s="17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 outlineLevel="1">
      <c r="A99" s="1"/>
      <c r="B99" s="153" t="s">
        <v>73</v>
      </c>
      <c r="C99" s="85" t="s">
        <v>218</v>
      </c>
      <c r="D99" s="85"/>
      <c r="E99" s="158" t="s">
        <v>322</v>
      </c>
      <c r="F99" s="159" t="s">
        <v>185</v>
      </c>
      <c r="G99" s="153" t="s">
        <v>227</v>
      </c>
      <c r="H99" s="85" t="s">
        <v>72</v>
      </c>
      <c r="I99" s="153" t="s">
        <v>228</v>
      </c>
      <c r="J99" s="170"/>
      <c r="K99" s="163" t="s">
        <v>60</v>
      </c>
      <c r="L99" s="163" t="s">
        <v>36</v>
      </c>
      <c r="M99" s="17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 outlineLevel="1">
      <c r="A100" s="1"/>
      <c r="B100" s="153" t="s">
        <v>73</v>
      </c>
      <c r="C100" s="85" t="s">
        <v>323</v>
      </c>
      <c r="D100" s="85"/>
      <c r="E100" s="158" t="s">
        <v>324</v>
      </c>
      <c r="F100" s="159" t="s">
        <v>325</v>
      </c>
      <c r="G100" s="153" t="s">
        <v>326</v>
      </c>
      <c r="H100" s="85" t="s">
        <v>72</v>
      </c>
      <c r="I100" s="153" t="s">
        <v>222</v>
      </c>
      <c r="J100" s="170"/>
      <c r="K100" s="163" t="s">
        <v>60</v>
      </c>
      <c r="L100" s="163" t="s">
        <v>36</v>
      </c>
      <c r="M100" s="17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 outlineLevel="1">
      <c r="A101" s="1"/>
      <c r="B101" s="153" t="s">
        <v>73</v>
      </c>
      <c r="C101" s="85" t="s">
        <v>323</v>
      </c>
      <c r="D101" s="85"/>
      <c r="E101" s="158" t="s">
        <v>327</v>
      </c>
      <c r="F101" s="159" t="s">
        <v>328</v>
      </c>
      <c r="G101" s="153" t="s">
        <v>326</v>
      </c>
      <c r="H101" s="160" t="s">
        <v>26</v>
      </c>
      <c r="I101" s="179" t="s">
        <v>329</v>
      </c>
      <c r="J101" s="162">
        <v>46268.0</v>
      </c>
      <c r="K101" s="163" t="s">
        <v>60</v>
      </c>
      <c r="L101" s="163" t="s">
        <v>36</v>
      </c>
      <c r="M101" s="17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 outlineLevel="1">
      <c r="A102" s="1"/>
      <c r="B102" s="153" t="s">
        <v>73</v>
      </c>
      <c r="C102" s="85" t="s">
        <v>323</v>
      </c>
      <c r="D102" s="85"/>
      <c r="E102" s="158" t="s">
        <v>330</v>
      </c>
      <c r="F102" s="159" t="s">
        <v>195</v>
      </c>
      <c r="G102" s="153" t="s">
        <v>331</v>
      </c>
      <c r="H102" s="160" t="s">
        <v>26</v>
      </c>
      <c r="I102" s="161" t="s">
        <v>332</v>
      </c>
      <c r="J102" s="162">
        <v>46269.0</v>
      </c>
      <c r="K102" s="163" t="s">
        <v>60</v>
      </c>
      <c r="L102" s="163" t="s">
        <v>36</v>
      </c>
      <c r="M102" s="17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 outlineLevel="1">
      <c r="A103" s="1"/>
      <c r="B103" s="153" t="s">
        <v>73</v>
      </c>
      <c r="C103" s="85" t="s">
        <v>323</v>
      </c>
      <c r="D103" s="85"/>
      <c r="E103" s="158" t="s">
        <v>333</v>
      </c>
      <c r="F103" s="159" t="s">
        <v>199</v>
      </c>
      <c r="G103" s="153" t="s">
        <v>334</v>
      </c>
      <c r="H103" s="160" t="s">
        <v>26</v>
      </c>
      <c r="I103" s="179" t="s">
        <v>335</v>
      </c>
      <c r="J103" s="162">
        <v>46268.0</v>
      </c>
      <c r="K103" s="163" t="s">
        <v>60</v>
      </c>
      <c r="L103" s="163" t="s">
        <v>36</v>
      </c>
      <c r="M103" s="17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 outlineLevel="1">
      <c r="A104" s="1"/>
      <c r="B104" s="153" t="s">
        <v>73</v>
      </c>
      <c r="C104" s="85" t="s">
        <v>202</v>
      </c>
      <c r="D104" s="85"/>
      <c r="E104" s="158" t="s">
        <v>336</v>
      </c>
      <c r="F104" s="159" t="s">
        <v>337</v>
      </c>
      <c r="G104" s="153" t="s">
        <v>205</v>
      </c>
      <c r="H104" s="160" t="s">
        <v>26</v>
      </c>
      <c r="I104" s="161" t="s">
        <v>338</v>
      </c>
      <c r="J104" s="162">
        <v>46268.0</v>
      </c>
      <c r="K104" s="163" t="s">
        <v>60</v>
      </c>
      <c r="L104" s="163" t="s">
        <v>36</v>
      </c>
      <c r="M104" s="17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 outlineLevel="1">
      <c r="A105" s="1"/>
      <c r="B105" s="153" t="s">
        <v>73</v>
      </c>
      <c r="C105" s="67" t="s">
        <v>339</v>
      </c>
      <c r="D105" s="85"/>
      <c r="E105" s="158" t="s">
        <v>340</v>
      </c>
      <c r="F105" s="183" t="s">
        <v>304</v>
      </c>
      <c r="G105" s="184" t="s">
        <v>341</v>
      </c>
      <c r="H105" s="85" t="s">
        <v>72</v>
      </c>
      <c r="I105" s="185" t="s">
        <v>342</v>
      </c>
      <c r="J105" s="170"/>
      <c r="K105" s="163" t="s">
        <v>60</v>
      </c>
      <c r="L105" s="163" t="s">
        <v>36</v>
      </c>
      <c r="M105" s="17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 outlineLevel="1">
      <c r="A106" s="1"/>
      <c r="B106" s="153" t="s">
        <v>73</v>
      </c>
      <c r="C106" s="85" t="s">
        <v>339</v>
      </c>
      <c r="D106" s="85"/>
      <c r="E106" s="158" t="s">
        <v>343</v>
      </c>
      <c r="F106" s="159" t="s">
        <v>308</v>
      </c>
      <c r="G106" s="153" t="s">
        <v>341</v>
      </c>
      <c r="H106" s="85" t="s">
        <v>72</v>
      </c>
      <c r="I106" s="185" t="s">
        <v>342</v>
      </c>
      <c r="J106" s="170"/>
      <c r="K106" s="163" t="s">
        <v>60</v>
      </c>
      <c r="L106" s="163" t="s">
        <v>36</v>
      </c>
      <c r="M106" s="17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35" t="s">
        <v>344</v>
      </c>
      <c r="C107" s="44"/>
      <c r="D107" s="44"/>
      <c r="E107" s="45"/>
      <c r="F107" s="138"/>
      <c r="G107" s="138"/>
      <c r="H107" s="137"/>
      <c r="I107" s="141"/>
      <c r="J107" s="137"/>
      <c r="K107" s="137"/>
      <c r="L107" s="137"/>
      <c r="M107" s="17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hidden="1" customHeight="1" outlineLevel="1">
      <c r="A108" s="1"/>
      <c r="B108" s="153" t="s">
        <v>73</v>
      </c>
      <c r="C108" s="85" t="s">
        <v>121</v>
      </c>
      <c r="D108" s="85">
        <v>7.0</v>
      </c>
      <c r="E108" s="158" t="s">
        <v>345</v>
      </c>
      <c r="F108" s="153" t="s">
        <v>124</v>
      </c>
      <c r="G108" s="153" t="s">
        <v>125</v>
      </c>
      <c r="H108" s="85" t="s">
        <v>72</v>
      </c>
      <c r="I108" s="186"/>
      <c r="J108" s="170"/>
      <c r="K108" s="163" t="s">
        <v>60</v>
      </c>
      <c r="L108" s="163" t="s">
        <v>36</v>
      </c>
      <c r="M108" s="17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hidden="1" customHeight="1" outlineLevel="1">
      <c r="A109" s="1"/>
      <c r="B109" s="153" t="s">
        <v>73</v>
      </c>
      <c r="C109" s="85" t="s">
        <v>121</v>
      </c>
      <c r="D109" s="85"/>
      <c r="E109" s="158" t="s">
        <v>346</v>
      </c>
      <c r="F109" s="153" t="s">
        <v>128</v>
      </c>
      <c r="G109" s="153" t="s">
        <v>129</v>
      </c>
      <c r="H109" s="85" t="s">
        <v>72</v>
      </c>
      <c r="I109" s="186"/>
      <c r="J109" s="170"/>
      <c r="K109" s="163" t="s">
        <v>60</v>
      </c>
      <c r="L109" s="163" t="s">
        <v>36</v>
      </c>
      <c r="M109" s="17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hidden="1" customHeight="1" outlineLevel="1">
      <c r="A110" s="1"/>
      <c r="B110" s="153" t="s">
        <v>73</v>
      </c>
      <c r="C110" s="85" t="s">
        <v>121</v>
      </c>
      <c r="D110" s="85"/>
      <c r="E110" s="158" t="s">
        <v>347</v>
      </c>
      <c r="F110" s="153" t="s">
        <v>132</v>
      </c>
      <c r="G110" s="153" t="s">
        <v>133</v>
      </c>
      <c r="H110" s="85" t="s">
        <v>72</v>
      </c>
      <c r="I110" s="186"/>
      <c r="J110" s="170"/>
      <c r="K110" s="163" t="s">
        <v>60</v>
      </c>
      <c r="L110" s="163" t="s">
        <v>36</v>
      </c>
      <c r="M110" s="17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hidden="1" customHeight="1" outlineLevel="1">
      <c r="A111" s="1"/>
      <c r="B111" s="153" t="s">
        <v>73</v>
      </c>
      <c r="C111" s="182" t="s">
        <v>121</v>
      </c>
      <c r="D111" s="85"/>
      <c r="E111" s="158" t="s">
        <v>348</v>
      </c>
      <c r="F111" s="166" t="s">
        <v>136</v>
      </c>
      <c r="G111" s="166" t="s">
        <v>137</v>
      </c>
      <c r="H111" s="85" t="s">
        <v>72</v>
      </c>
      <c r="I111" s="186"/>
      <c r="J111" s="170"/>
      <c r="K111" s="163" t="s">
        <v>60</v>
      </c>
      <c r="L111" s="163" t="s">
        <v>36</v>
      </c>
      <c r="M111" s="17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hidden="1" customHeight="1" outlineLevel="1">
      <c r="A112" s="1"/>
      <c r="B112" s="153" t="s">
        <v>73</v>
      </c>
      <c r="C112" s="182" t="s">
        <v>121</v>
      </c>
      <c r="D112" s="85"/>
      <c r="E112" s="158" t="s">
        <v>349</v>
      </c>
      <c r="F112" s="166" t="s">
        <v>140</v>
      </c>
      <c r="G112" s="166" t="s">
        <v>141</v>
      </c>
      <c r="H112" s="85" t="s">
        <v>72</v>
      </c>
      <c r="I112" s="186"/>
      <c r="J112" s="170"/>
      <c r="K112" s="163" t="s">
        <v>60</v>
      </c>
      <c r="L112" s="163" t="s">
        <v>36</v>
      </c>
      <c r="M112" s="17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hidden="1" customHeight="1" outlineLevel="1">
      <c r="A113" s="1"/>
      <c r="B113" s="153" t="s">
        <v>73</v>
      </c>
      <c r="C113" s="85" t="s">
        <v>350</v>
      </c>
      <c r="D113" s="85"/>
      <c r="E113" s="158" t="s">
        <v>351</v>
      </c>
      <c r="F113" s="153" t="s">
        <v>352</v>
      </c>
      <c r="G113" s="153" t="s">
        <v>353</v>
      </c>
      <c r="H113" s="85" t="s">
        <v>72</v>
      </c>
      <c r="I113" s="186"/>
      <c r="J113" s="170"/>
      <c r="K113" s="163" t="s">
        <v>60</v>
      </c>
      <c r="L113" s="163" t="s">
        <v>36</v>
      </c>
      <c r="M113" s="17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hidden="1" customHeight="1" outlineLevel="1">
      <c r="A114" s="1"/>
      <c r="B114" s="153" t="s">
        <v>73</v>
      </c>
      <c r="C114" s="85" t="s">
        <v>350</v>
      </c>
      <c r="D114" s="85"/>
      <c r="E114" s="158" t="s">
        <v>354</v>
      </c>
      <c r="F114" s="153" t="s">
        <v>355</v>
      </c>
      <c r="G114" s="153" t="s">
        <v>356</v>
      </c>
      <c r="H114" s="85" t="s">
        <v>72</v>
      </c>
      <c r="I114" s="186"/>
      <c r="J114" s="170"/>
      <c r="K114" s="163" t="s">
        <v>60</v>
      </c>
      <c r="L114" s="163" t="s">
        <v>36</v>
      </c>
      <c r="M114" s="17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hidden="1" customHeight="1" outlineLevel="1">
      <c r="A115" s="1"/>
      <c r="B115" s="153" t="s">
        <v>73</v>
      </c>
      <c r="C115" s="85" t="s">
        <v>350</v>
      </c>
      <c r="D115" s="85"/>
      <c r="E115" s="158" t="s">
        <v>357</v>
      </c>
      <c r="F115" s="153" t="s">
        <v>358</v>
      </c>
      <c r="G115" s="153" t="s">
        <v>359</v>
      </c>
      <c r="H115" s="85" t="s">
        <v>72</v>
      </c>
      <c r="I115" s="186"/>
      <c r="J115" s="170"/>
      <c r="K115" s="163" t="s">
        <v>60</v>
      </c>
      <c r="L115" s="163" t="s">
        <v>36</v>
      </c>
      <c r="M115" s="17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hidden="1" customHeight="1" outlineLevel="1">
      <c r="A116" s="1"/>
      <c r="B116" s="153" t="s">
        <v>73</v>
      </c>
      <c r="C116" s="85" t="s">
        <v>350</v>
      </c>
      <c r="D116" s="85"/>
      <c r="E116" s="158" t="s">
        <v>360</v>
      </c>
      <c r="F116" s="153" t="s">
        <v>361</v>
      </c>
      <c r="G116" s="153" t="s">
        <v>362</v>
      </c>
      <c r="H116" s="85" t="s">
        <v>72</v>
      </c>
      <c r="I116" s="186"/>
      <c r="J116" s="170"/>
      <c r="K116" s="163" t="s">
        <v>60</v>
      </c>
      <c r="L116" s="163" t="s">
        <v>36</v>
      </c>
      <c r="M116" s="17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hidden="1" customHeight="1" outlineLevel="1">
      <c r="A117" s="1"/>
      <c r="B117" s="153" t="s">
        <v>73</v>
      </c>
      <c r="C117" s="85" t="s">
        <v>40</v>
      </c>
      <c r="D117" s="85"/>
      <c r="E117" s="158" t="s">
        <v>363</v>
      </c>
      <c r="F117" s="153" t="s">
        <v>352</v>
      </c>
      <c r="G117" s="153" t="s">
        <v>364</v>
      </c>
      <c r="H117" s="85" t="s">
        <v>72</v>
      </c>
      <c r="I117" s="186"/>
      <c r="J117" s="170"/>
      <c r="K117" s="163" t="s">
        <v>60</v>
      </c>
      <c r="L117" s="163" t="s">
        <v>36</v>
      </c>
      <c r="M117" s="17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hidden="1" customHeight="1" outlineLevel="1">
      <c r="A118" s="1"/>
      <c r="B118" s="153" t="s">
        <v>73</v>
      </c>
      <c r="C118" s="85" t="s">
        <v>40</v>
      </c>
      <c r="D118" s="85"/>
      <c r="E118" s="158" t="s">
        <v>365</v>
      </c>
      <c r="F118" s="153" t="s">
        <v>361</v>
      </c>
      <c r="G118" s="153" t="s">
        <v>366</v>
      </c>
      <c r="H118" s="85" t="s">
        <v>72</v>
      </c>
      <c r="I118" s="186"/>
      <c r="J118" s="170"/>
      <c r="K118" s="163" t="s">
        <v>60</v>
      </c>
      <c r="L118" s="163" t="s">
        <v>36</v>
      </c>
      <c r="M118" s="17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hidden="1" customHeight="1" outlineLevel="1">
      <c r="A119" s="1"/>
      <c r="B119" s="153" t="s">
        <v>73</v>
      </c>
      <c r="C119" s="85" t="s">
        <v>40</v>
      </c>
      <c r="D119" s="85"/>
      <c r="E119" s="158" t="s">
        <v>367</v>
      </c>
      <c r="F119" s="153" t="s">
        <v>368</v>
      </c>
      <c r="G119" s="153" t="s">
        <v>369</v>
      </c>
      <c r="H119" s="85" t="s">
        <v>72</v>
      </c>
      <c r="I119" s="186"/>
      <c r="J119" s="170"/>
      <c r="K119" s="163" t="s">
        <v>60</v>
      </c>
      <c r="L119" s="163" t="s">
        <v>36</v>
      </c>
      <c r="M119" s="17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hidden="1" customHeight="1" outlineLevel="1">
      <c r="A120" s="1"/>
      <c r="B120" s="153" t="s">
        <v>73</v>
      </c>
      <c r="C120" s="85" t="s">
        <v>370</v>
      </c>
      <c r="D120" s="85"/>
      <c r="E120" s="158" t="s">
        <v>371</v>
      </c>
      <c r="F120" s="153" t="s">
        <v>372</v>
      </c>
      <c r="G120" s="153" t="s">
        <v>373</v>
      </c>
      <c r="H120" s="85" t="s">
        <v>72</v>
      </c>
      <c r="I120" s="186"/>
      <c r="J120" s="170"/>
      <c r="K120" s="163" t="s">
        <v>60</v>
      </c>
      <c r="L120" s="163" t="s">
        <v>36</v>
      </c>
      <c r="M120" s="17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hidden="1" customHeight="1" outlineLevel="1">
      <c r="A121" s="1"/>
      <c r="B121" s="153" t="s">
        <v>73</v>
      </c>
      <c r="C121" s="85" t="s">
        <v>374</v>
      </c>
      <c r="D121" s="85"/>
      <c r="E121" s="158" t="s">
        <v>375</v>
      </c>
      <c r="F121" s="153" t="s">
        <v>376</v>
      </c>
      <c r="G121" s="153" t="s">
        <v>377</v>
      </c>
      <c r="H121" s="85" t="s">
        <v>72</v>
      </c>
      <c r="I121" s="186"/>
      <c r="J121" s="170"/>
      <c r="K121" s="163" t="s">
        <v>60</v>
      </c>
      <c r="L121" s="163" t="s">
        <v>36</v>
      </c>
      <c r="M121" s="17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36.75" hidden="1" customHeight="1" outlineLevel="1">
      <c r="A122" s="1"/>
      <c r="B122" s="153" t="s">
        <v>73</v>
      </c>
      <c r="C122" s="85" t="s">
        <v>374</v>
      </c>
      <c r="D122" s="85"/>
      <c r="E122" s="158" t="s">
        <v>378</v>
      </c>
      <c r="F122" s="153" t="s">
        <v>379</v>
      </c>
      <c r="G122" s="153" t="s">
        <v>380</v>
      </c>
      <c r="H122" s="85" t="s">
        <v>72</v>
      </c>
      <c r="I122" s="186"/>
      <c r="J122" s="170"/>
      <c r="K122" s="163" t="s">
        <v>60</v>
      </c>
      <c r="L122" s="163" t="s">
        <v>36</v>
      </c>
      <c r="M122" s="17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hidden="1" customHeight="1" outlineLevel="1">
      <c r="A123" s="1"/>
      <c r="B123" s="153" t="s">
        <v>73</v>
      </c>
      <c r="C123" s="85" t="s">
        <v>381</v>
      </c>
      <c r="D123" s="85"/>
      <c r="E123" s="158" t="s">
        <v>382</v>
      </c>
      <c r="F123" s="153" t="s">
        <v>383</v>
      </c>
      <c r="G123" s="153" t="s">
        <v>384</v>
      </c>
      <c r="H123" s="85" t="s">
        <v>72</v>
      </c>
      <c r="I123" s="186"/>
      <c r="J123" s="170"/>
      <c r="K123" s="163" t="s">
        <v>60</v>
      </c>
      <c r="L123" s="163" t="s">
        <v>36</v>
      </c>
      <c r="M123" s="17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hidden="1" customHeight="1" outlineLevel="1">
      <c r="A124" s="1"/>
      <c r="B124" s="153" t="s">
        <v>73</v>
      </c>
      <c r="C124" s="85" t="s">
        <v>385</v>
      </c>
      <c r="D124" s="85"/>
      <c r="E124" s="158" t="s">
        <v>386</v>
      </c>
      <c r="F124" s="153" t="s">
        <v>387</v>
      </c>
      <c r="G124" s="153" t="s">
        <v>388</v>
      </c>
      <c r="H124" s="85" t="s">
        <v>72</v>
      </c>
      <c r="I124" s="186"/>
      <c r="J124" s="170"/>
      <c r="K124" s="163" t="s">
        <v>60</v>
      </c>
      <c r="L124" s="163" t="s">
        <v>36</v>
      </c>
      <c r="M124" s="17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hidden="1" customHeight="1" outlineLevel="1">
      <c r="A125" s="1"/>
      <c r="B125" s="153" t="s">
        <v>73</v>
      </c>
      <c r="C125" s="85" t="s">
        <v>389</v>
      </c>
      <c r="D125" s="85"/>
      <c r="E125" s="158" t="s">
        <v>390</v>
      </c>
      <c r="F125" s="153" t="s">
        <v>391</v>
      </c>
      <c r="G125" s="153" t="s">
        <v>392</v>
      </c>
      <c r="H125" s="85" t="s">
        <v>72</v>
      </c>
      <c r="I125" s="186"/>
      <c r="J125" s="170"/>
      <c r="K125" s="163" t="s">
        <v>60</v>
      </c>
      <c r="L125" s="163" t="s">
        <v>36</v>
      </c>
      <c r="M125" s="17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hidden="1" customHeight="1" outlineLevel="1">
      <c r="A126" s="1"/>
      <c r="B126" s="153" t="s">
        <v>73</v>
      </c>
      <c r="C126" s="85" t="s">
        <v>393</v>
      </c>
      <c r="D126" s="85"/>
      <c r="E126" s="158" t="s">
        <v>394</v>
      </c>
      <c r="F126" s="153" t="s">
        <v>395</v>
      </c>
      <c r="G126" s="153" t="s">
        <v>396</v>
      </c>
      <c r="H126" s="85" t="s">
        <v>72</v>
      </c>
      <c r="I126" s="186"/>
      <c r="J126" s="170"/>
      <c r="K126" s="163" t="s">
        <v>60</v>
      </c>
      <c r="L126" s="163" t="s">
        <v>36</v>
      </c>
      <c r="M126" s="17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hidden="1" customHeight="1" outlineLevel="1">
      <c r="A127" s="1"/>
      <c r="B127" s="153" t="s">
        <v>73</v>
      </c>
      <c r="C127" s="85" t="s">
        <v>397</v>
      </c>
      <c r="D127" s="85"/>
      <c r="E127" s="158" t="s">
        <v>398</v>
      </c>
      <c r="F127" s="153" t="s">
        <v>352</v>
      </c>
      <c r="G127" s="153" t="s">
        <v>399</v>
      </c>
      <c r="H127" s="85" t="s">
        <v>72</v>
      </c>
      <c r="I127" s="186"/>
      <c r="J127" s="170"/>
      <c r="K127" s="163" t="s">
        <v>60</v>
      </c>
      <c r="L127" s="163" t="s">
        <v>36</v>
      </c>
      <c r="M127" s="17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hidden="1" customHeight="1" outlineLevel="1">
      <c r="A128" s="1"/>
      <c r="B128" s="153" t="s">
        <v>73</v>
      </c>
      <c r="C128" s="85" t="s">
        <v>397</v>
      </c>
      <c r="D128" s="85"/>
      <c r="E128" s="158" t="s">
        <v>400</v>
      </c>
      <c r="F128" s="153" t="s">
        <v>355</v>
      </c>
      <c r="G128" s="153" t="s">
        <v>401</v>
      </c>
      <c r="H128" s="85" t="s">
        <v>72</v>
      </c>
      <c r="I128" s="186"/>
      <c r="J128" s="170"/>
      <c r="K128" s="163" t="s">
        <v>60</v>
      </c>
      <c r="L128" s="163" t="s">
        <v>36</v>
      </c>
      <c r="M128" s="17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hidden="1" customHeight="1" outlineLevel="1">
      <c r="A129" s="1"/>
      <c r="B129" s="153" t="s">
        <v>73</v>
      </c>
      <c r="C129" s="85" t="s">
        <v>397</v>
      </c>
      <c r="D129" s="85"/>
      <c r="E129" s="158" t="s">
        <v>402</v>
      </c>
      <c r="F129" s="153" t="s">
        <v>358</v>
      </c>
      <c r="G129" s="153" t="s">
        <v>403</v>
      </c>
      <c r="H129" s="85" t="s">
        <v>72</v>
      </c>
      <c r="I129" s="186"/>
      <c r="J129" s="170"/>
      <c r="K129" s="163" t="s">
        <v>60</v>
      </c>
      <c r="L129" s="163" t="s">
        <v>36</v>
      </c>
      <c r="M129" s="17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hidden="1" customHeight="1" outlineLevel="1">
      <c r="A130" s="1"/>
      <c r="B130" s="153" t="s">
        <v>73</v>
      </c>
      <c r="C130" s="85" t="s">
        <v>397</v>
      </c>
      <c r="D130" s="85"/>
      <c r="E130" s="158" t="s">
        <v>404</v>
      </c>
      <c r="F130" s="153" t="s">
        <v>361</v>
      </c>
      <c r="G130" s="153" t="s">
        <v>405</v>
      </c>
      <c r="H130" s="85" t="s">
        <v>72</v>
      </c>
      <c r="I130" s="186"/>
      <c r="J130" s="170"/>
      <c r="K130" s="163" t="s">
        <v>60</v>
      </c>
      <c r="L130" s="163" t="s">
        <v>36</v>
      </c>
      <c r="M130" s="17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hidden="1" customHeight="1" outlineLevel="1">
      <c r="A131" s="1"/>
      <c r="B131" s="153" t="s">
        <v>73</v>
      </c>
      <c r="C131" s="85" t="s">
        <v>397</v>
      </c>
      <c r="D131" s="85"/>
      <c r="E131" s="158" t="s">
        <v>406</v>
      </c>
      <c r="F131" s="153" t="s">
        <v>407</v>
      </c>
      <c r="G131" s="153" t="s">
        <v>408</v>
      </c>
      <c r="H131" s="85" t="s">
        <v>72</v>
      </c>
      <c r="I131" s="186"/>
      <c r="J131" s="170"/>
      <c r="K131" s="163" t="s">
        <v>60</v>
      </c>
      <c r="L131" s="163" t="s">
        <v>36</v>
      </c>
      <c r="M131" s="17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hidden="1" customHeight="1" outlineLevel="1">
      <c r="A132" s="1"/>
      <c r="B132" s="153" t="s">
        <v>73</v>
      </c>
      <c r="C132" s="85" t="s">
        <v>397</v>
      </c>
      <c r="D132" s="85"/>
      <c r="E132" s="158" t="s">
        <v>409</v>
      </c>
      <c r="F132" s="153" t="s">
        <v>410</v>
      </c>
      <c r="G132" s="153" t="s">
        <v>408</v>
      </c>
      <c r="H132" s="85" t="s">
        <v>72</v>
      </c>
      <c r="I132" s="186"/>
      <c r="J132" s="170"/>
      <c r="K132" s="163" t="s">
        <v>60</v>
      </c>
      <c r="L132" s="163" t="s">
        <v>36</v>
      </c>
      <c r="M132" s="17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hidden="1" customHeight="1" outlineLevel="1">
      <c r="A133" s="1"/>
      <c r="B133" s="153" t="s">
        <v>73</v>
      </c>
      <c r="C133" s="85" t="s">
        <v>411</v>
      </c>
      <c r="D133" s="85"/>
      <c r="E133" s="158" t="s">
        <v>412</v>
      </c>
      <c r="F133" s="153" t="s">
        <v>352</v>
      </c>
      <c r="G133" s="153" t="s">
        <v>413</v>
      </c>
      <c r="H133" s="85" t="s">
        <v>72</v>
      </c>
      <c r="I133" s="186"/>
      <c r="J133" s="170"/>
      <c r="K133" s="163" t="s">
        <v>60</v>
      </c>
      <c r="L133" s="163" t="s">
        <v>36</v>
      </c>
      <c r="M133" s="17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hidden="1" customHeight="1" outlineLevel="1">
      <c r="A134" s="1"/>
      <c r="B134" s="153" t="s">
        <v>73</v>
      </c>
      <c r="C134" s="85" t="s">
        <v>411</v>
      </c>
      <c r="D134" s="85"/>
      <c r="E134" s="158" t="s">
        <v>414</v>
      </c>
      <c r="F134" s="153" t="s">
        <v>355</v>
      </c>
      <c r="G134" s="153" t="s">
        <v>415</v>
      </c>
      <c r="H134" s="85" t="s">
        <v>72</v>
      </c>
      <c r="I134" s="186"/>
      <c r="J134" s="170"/>
      <c r="K134" s="163" t="s">
        <v>60</v>
      </c>
      <c r="L134" s="163" t="s">
        <v>36</v>
      </c>
      <c r="M134" s="17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hidden="1" customHeight="1" outlineLevel="1">
      <c r="A135" s="1"/>
      <c r="B135" s="153" t="s">
        <v>73</v>
      </c>
      <c r="C135" s="85" t="s">
        <v>411</v>
      </c>
      <c r="D135" s="85"/>
      <c r="E135" s="158" t="s">
        <v>416</v>
      </c>
      <c r="F135" s="153" t="s">
        <v>358</v>
      </c>
      <c r="G135" s="153" t="s">
        <v>417</v>
      </c>
      <c r="H135" s="85" t="s">
        <v>72</v>
      </c>
      <c r="I135" s="186"/>
      <c r="J135" s="170"/>
      <c r="K135" s="163" t="s">
        <v>60</v>
      </c>
      <c r="L135" s="163" t="s">
        <v>36</v>
      </c>
      <c r="M135" s="17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hidden="1" customHeight="1" outlineLevel="1">
      <c r="A136" s="1"/>
      <c r="B136" s="153" t="s">
        <v>73</v>
      </c>
      <c r="C136" s="85" t="s">
        <v>411</v>
      </c>
      <c r="D136" s="85"/>
      <c r="E136" s="158" t="s">
        <v>418</v>
      </c>
      <c r="F136" s="153" t="s">
        <v>361</v>
      </c>
      <c r="G136" s="153" t="s">
        <v>419</v>
      </c>
      <c r="H136" s="85" t="s">
        <v>72</v>
      </c>
      <c r="I136" s="186"/>
      <c r="J136" s="170"/>
      <c r="K136" s="163" t="s">
        <v>60</v>
      </c>
      <c r="L136" s="163" t="s">
        <v>36</v>
      </c>
      <c r="M136" s="17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hidden="1" customHeight="1" outlineLevel="1">
      <c r="A137" s="1"/>
      <c r="B137" s="153" t="s">
        <v>73</v>
      </c>
      <c r="C137" s="85" t="s">
        <v>411</v>
      </c>
      <c r="D137" s="85"/>
      <c r="E137" s="158" t="s">
        <v>420</v>
      </c>
      <c r="F137" s="153" t="s">
        <v>407</v>
      </c>
      <c r="G137" s="153" t="s">
        <v>421</v>
      </c>
      <c r="H137" s="85" t="s">
        <v>72</v>
      </c>
      <c r="I137" s="186"/>
      <c r="J137" s="170"/>
      <c r="K137" s="163" t="s">
        <v>60</v>
      </c>
      <c r="L137" s="163" t="s">
        <v>36</v>
      </c>
      <c r="M137" s="17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hidden="1" customHeight="1" outlineLevel="1">
      <c r="A138" s="1"/>
      <c r="B138" s="153" t="s">
        <v>73</v>
      </c>
      <c r="C138" s="85" t="s">
        <v>411</v>
      </c>
      <c r="D138" s="85"/>
      <c r="E138" s="158" t="s">
        <v>422</v>
      </c>
      <c r="F138" s="153" t="s">
        <v>410</v>
      </c>
      <c r="G138" s="153" t="s">
        <v>421</v>
      </c>
      <c r="H138" s="85" t="s">
        <v>72</v>
      </c>
      <c r="I138" s="186"/>
      <c r="J138" s="170"/>
      <c r="K138" s="163" t="s">
        <v>60</v>
      </c>
      <c r="L138" s="163" t="s">
        <v>36</v>
      </c>
      <c r="M138" s="17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hidden="1" customHeight="1" outlineLevel="1">
      <c r="A139" s="1"/>
      <c r="B139" s="153" t="s">
        <v>73</v>
      </c>
      <c r="C139" s="85" t="s">
        <v>423</v>
      </c>
      <c r="D139" s="85"/>
      <c r="E139" s="158" t="s">
        <v>424</v>
      </c>
      <c r="F139" s="153" t="s">
        <v>425</v>
      </c>
      <c r="G139" s="153" t="s">
        <v>426</v>
      </c>
      <c r="H139" s="85" t="s">
        <v>72</v>
      </c>
      <c r="I139" s="186"/>
      <c r="J139" s="170"/>
      <c r="K139" s="163" t="s">
        <v>60</v>
      </c>
      <c r="L139" s="163" t="s">
        <v>36</v>
      </c>
      <c r="M139" s="17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hidden="1" customHeight="1" outlineLevel="1">
      <c r="A140" s="1"/>
      <c r="B140" s="153" t="s">
        <v>73</v>
      </c>
      <c r="C140" s="85" t="s">
        <v>427</v>
      </c>
      <c r="D140" s="85"/>
      <c r="E140" s="158" t="s">
        <v>428</v>
      </c>
      <c r="F140" s="153" t="s">
        <v>429</v>
      </c>
      <c r="G140" s="153" t="s">
        <v>430</v>
      </c>
      <c r="H140" s="85" t="s">
        <v>72</v>
      </c>
      <c r="I140" s="186"/>
      <c r="J140" s="170"/>
      <c r="K140" s="163" t="s">
        <v>60</v>
      </c>
      <c r="L140" s="163" t="s">
        <v>36</v>
      </c>
      <c r="M140" s="17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hidden="1" customHeight="1" outlineLevel="1">
      <c r="A141" s="1"/>
      <c r="B141" s="153" t="s">
        <v>73</v>
      </c>
      <c r="C141" s="85" t="s">
        <v>202</v>
      </c>
      <c r="D141" s="85"/>
      <c r="E141" s="158" t="s">
        <v>431</v>
      </c>
      <c r="F141" s="153" t="s">
        <v>432</v>
      </c>
      <c r="G141" s="153" t="s">
        <v>205</v>
      </c>
      <c r="H141" s="85" t="s">
        <v>72</v>
      </c>
      <c r="I141" s="186"/>
      <c r="J141" s="170"/>
      <c r="K141" s="163" t="s">
        <v>60</v>
      </c>
      <c r="L141" s="163" t="s">
        <v>36</v>
      </c>
      <c r="M141" s="17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 collapsed="1">
      <c r="A142" s="1"/>
      <c r="B142" s="135" t="s">
        <v>433</v>
      </c>
      <c r="C142" s="44"/>
      <c r="D142" s="44"/>
      <c r="E142" s="45"/>
      <c r="F142" s="138"/>
      <c r="G142" s="138"/>
      <c r="H142" s="138"/>
      <c r="I142" s="141"/>
      <c r="J142" s="137"/>
      <c r="K142" s="137"/>
      <c r="L142" s="137"/>
      <c r="M142" s="17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hidden="1" customHeight="1" outlineLevel="1">
      <c r="A143" s="1"/>
      <c r="B143" s="153" t="s">
        <v>73</v>
      </c>
      <c r="C143" s="85" t="s">
        <v>389</v>
      </c>
      <c r="D143" s="67">
        <v>8.0</v>
      </c>
      <c r="E143" s="187" t="s">
        <v>434</v>
      </c>
      <c r="F143" s="188" t="s">
        <v>352</v>
      </c>
      <c r="G143" s="189" t="s">
        <v>435</v>
      </c>
      <c r="H143" s="85" t="s">
        <v>72</v>
      </c>
      <c r="I143" s="186"/>
      <c r="J143" s="170"/>
      <c r="K143" s="163" t="s">
        <v>60</v>
      </c>
      <c r="L143" s="163" t="s">
        <v>36</v>
      </c>
      <c r="M143" s="17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hidden="1" customHeight="1" outlineLevel="1">
      <c r="A144" s="1"/>
      <c r="B144" s="153" t="s">
        <v>73</v>
      </c>
      <c r="C144" s="85" t="s">
        <v>389</v>
      </c>
      <c r="D144" s="190"/>
      <c r="E144" s="187" t="s">
        <v>436</v>
      </c>
      <c r="F144" s="188" t="s">
        <v>355</v>
      </c>
      <c r="G144" s="188" t="s">
        <v>437</v>
      </c>
      <c r="H144" s="85" t="s">
        <v>72</v>
      </c>
      <c r="I144" s="186"/>
      <c r="J144" s="170"/>
      <c r="K144" s="163" t="s">
        <v>60</v>
      </c>
      <c r="L144" s="163" t="s">
        <v>36</v>
      </c>
      <c r="M144" s="17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hidden="1" customHeight="1" outlineLevel="1">
      <c r="A145" s="1"/>
      <c r="B145" s="153" t="s">
        <v>73</v>
      </c>
      <c r="C145" s="85" t="s">
        <v>389</v>
      </c>
      <c r="D145" s="190"/>
      <c r="E145" s="187" t="s">
        <v>438</v>
      </c>
      <c r="F145" s="188" t="s">
        <v>358</v>
      </c>
      <c r="G145" s="188" t="s">
        <v>437</v>
      </c>
      <c r="H145" s="85" t="s">
        <v>72</v>
      </c>
      <c r="I145" s="186"/>
      <c r="J145" s="170"/>
      <c r="K145" s="163" t="s">
        <v>60</v>
      </c>
      <c r="L145" s="163" t="s">
        <v>36</v>
      </c>
      <c r="M145" s="17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hidden="1" customHeight="1" outlineLevel="1">
      <c r="A146" s="1"/>
      <c r="B146" s="153" t="s">
        <v>73</v>
      </c>
      <c r="C146" s="85" t="s">
        <v>389</v>
      </c>
      <c r="D146" s="190"/>
      <c r="E146" s="187" t="s">
        <v>439</v>
      </c>
      <c r="F146" s="188" t="s">
        <v>361</v>
      </c>
      <c r="G146" s="188" t="s">
        <v>437</v>
      </c>
      <c r="H146" s="85" t="s">
        <v>72</v>
      </c>
      <c r="I146" s="186"/>
      <c r="J146" s="170"/>
      <c r="K146" s="163" t="s">
        <v>60</v>
      </c>
      <c r="L146" s="163" t="s">
        <v>36</v>
      </c>
      <c r="M146" s="17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hidden="1" customHeight="1" outlineLevel="1">
      <c r="A147" s="1"/>
      <c r="B147" s="153" t="s">
        <v>73</v>
      </c>
      <c r="C147" s="85" t="s">
        <v>440</v>
      </c>
      <c r="D147" s="190"/>
      <c r="E147" s="187" t="s">
        <v>441</v>
      </c>
      <c r="F147" s="188" t="s">
        <v>352</v>
      </c>
      <c r="G147" s="188" t="s">
        <v>442</v>
      </c>
      <c r="H147" s="85" t="s">
        <v>72</v>
      </c>
      <c r="I147" s="186"/>
      <c r="J147" s="170"/>
      <c r="K147" s="163" t="s">
        <v>60</v>
      </c>
      <c r="L147" s="163" t="s">
        <v>36</v>
      </c>
      <c r="M147" s="17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hidden="1" customHeight="1" outlineLevel="1">
      <c r="A148" s="1"/>
      <c r="B148" s="153" t="s">
        <v>73</v>
      </c>
      <c r="C148" s="85" t="s">
        <v>440</v>
      </c>
      <c r="D148" s="190"/>
      <c r="E148" s="187" t="s">
        <v>443</v>
      </c>
      <c r="F148" s="188" t="s">
        <v>361</v>
      </c>
      <c r="G148" s="188" t="s">
        <v>437</v>
      </c>
      <c r="H148" s="85" t="s">
        <v>72</v>
      </c>
      <c r="I148" s="186"/>
      <c r="J148" s="170"/>
      <c r="K148" s="163" t="s">
        <v>60</v>
      </c>
      <c r="L148" s="163" t="s">
        <v>36</v>
      </c>
      <c r="M148" s="17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hidden="1" customHeight="1" outlineLevel="1">
      <c r="A149" s="1"/>
      <c r="B149" s="153" t="s">
        <v>73</v>
      </c>
      <c r="C149" s="85" t="s">
        <v>440</v>
      </c>
      <c r="D149" s="191"/>
      <c r="E149" s="187" t="s">
        <v>444</v>
      </c>
      <c r="F149" s="188" t="s">
        <v>368</v>
      </c>
      <c r="G149" s="188" t="s">
        <v>369</v>
      </c>
      <c r="H149" s="85" t="s">
        <v>72</v>
      </c>
      <c r="I149" s="186"/>
      <c r="J149" s="170"/>
      <c r="K149" s="163" t="s">
        <v>60</v>
      </c>
      <c r="L149" s="163" t="s">
        <v>36</v>
      </c>
      <c r="M149" s="17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 collapsed="1">
      <c r="A150" s="1"/>
      <c r="B150" s="135" t="s">
        <v>445</v>
      </c>
      <c r="C150" s="44"/>
      <c r="D150" s="44"/>
      <c r="E150" s="45"/>
      <c r="F150" s="138"/>
      <c r="G150" s="138"/>
      <c r="H150" s="138"/>
      <c r="I150" s="141"/>
      <c r="J150" s="137"/>
      <c r="K150" s="137"/>
      <c r="L150" s="137"/>
      <c r="M150" s="17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hidden="1" customHeight="1" outlineLevel="1">
      <c r="A151" s="1"/>
      <c r="B151" s="153" t="s">
        <v>73</v>
      </c>
      <c r="C151" s="192" t="s">
        <v>389</v>
      </c>
      <c r="D151" s="67">
        <v>9.0</v>
      </c>
      <c r="E151" s="187" t="s">
        <v>446</v>
      </c>
      <c r="F151" s="193" t="s">
        <v>352</v>
      </c>
      <c r="G151" s="189" t="s">
        <v>435</v>
      </c>
      <c r="H151" s="85" t="s">
        <v>72</v>
      </c>
      <c r="I151" s="186"/>
      <c r="J151" s="170"/>
      <c r="K151" s="163" t="s">
        <v>60</v>
      </c>
      <c r="L151" s="163" t="s">
        <v>36</v>
      </c>
      <c r="M151" s="17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hidden="1" customHeight="1" outlineLevel="1">
      <c r="A152" s="1"/>
      <c r="B152" s="153" t="s">
        <v>73</v>
      </c>
      <c r="C152" s="192" t="s">
        <v>389</v>
      </c>
      <c r="D152" s="190"/>
      <c r="E152" s="187" t="s">
        <v>447</v>
      </c>
      <c r="F152" s="193" t="s">
        <v>355</v>
      </c>
      <c r="G152" s="189" t="s">
        <v>437</v>
      </c>
      <c r="H152" s="85" t="s">
        <v>72</v>
      </c>
      <c r="I152" s="186"/>
      <c r="J152" s="170"/>
      <c r="K152" s="163" t="s">
        <v>60</v>
      </c>
      <c r="L152" s="163" t="s">
        <v>36</v>
      </c>
      <c r="M152" s="17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hidden="1" customHeight="1" outlineLevel="1">
      <c r="A153" s="1"/>
      <c r="B153" s="153" t="s">
        <v>73</v>
      </c>
      <c r="C153" s="192" t="s">
        <v>389</v>
      </c>
      <c r="D153" s="190"/>
      <c r="E153" s="187" t="s">
        <v>448</v>
      </c>
      <c r="F153" s="193" t="s">
        <v>358</v>
      </c>
      <c r="G153" s="189" t="s">
        <v>437</v>
      </c>
      <c r="H153" s="85" t="s">
        <v>72</v>
      </c>
      <c r="I153" s="186"/>
      <c r="J153" s="170"/>
      <c r="K153" s="163" t="s">
        <v>60</v>
      </c>
      <c r="L153" s="163" t="s">
        <v>36</v>
      </c>
      <c r="M153" s="17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hidden="1" customHeight="1" outlineLevel="1">
      <c r="A154" s="1"/>
      <c r="B154" s="153" t="s">
        <v>73</v>
      </c>
      <c r="C154" s="192" t="s">
        <v>389</v>
      </c>
      <c r="D154" s="190"/>
      <c r="E154" s="187" t="s">
        <v>449</v>
      </c>
      <c r="F154" s="193" t="s">
        <v>361</v>
      </c>
      <c r="G154" s="189" t="s">
        <v>437</v>
      </c>
      <c r="H154" s="85" t="s">
        <v>72</v>
      </c>
      <c r="I154" s="186"/>
      <c r="J154" s="170"/>
      <c r="K154" s="163" t="s">
        <v>60</v>
      </c>
      <c r="L154" s="163" t="s">
        <v>36</v>
      </c>
      <c r="M154" s="17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hidden="1" customHeight="1" outlineLevel="1">
      <c r="A155" s="1"/>
      <c r="B155" s="153" t="s">
        <v>73</v>
      </c>
      <c r="C155" s="192" t="s">
        <v>440</v>
      </c>
      <c r="D155" s="190"/>
      <c r="E155" s="187" t="s">
        <v>450</v>
      </c>
      <c r="F155" s="193" t="s">
        <v>352</v>
      </c>
      <c r="G155" s="189" t="s">
        <v>442</v>
      </c>
      <c r="H155" s="85" t="s">
        <v>72</v>
      </c>
      <c r="I155" s="186"/>
      <c r="J155" s="170"/>
      <c r="K155" s="163" t="s">
        <v>60</v>
      </c>
      <c r="L155" s="163" t="s">
        <v>36</v>
      </c>
      <c r="M155" s="17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hidden="1" customHeight="1" outlineLevel="1">
      <c r="A156" s="1"/>
      <c r="B156" s="153" t="s">
        <v>73</v>
      </c>
      <c r="C156" s="192" t="s">
        <v>440</v>
      </c>
      <c r="D156" s="190"/>
      <c r="E156" s="187" t="s">
        <v>451</v>
      </c>
      <c r="F156" s="193" t="s">
        <v>361</v>
      </c>
      <c r="G156" s="189" t="s">
        <v>437</v>
      </c>
      <c r="H156" s="85" t="s">
        <v>72</v>
      </c>
      <c r="I156" s="186"/>
      <c r="J156" s="170"/>
      <c r="K156" s="163" t="s">
        <v>60</v>
      </c>
      <c r="L156" s="163" t="s">
        <v>36</v>
      </c>
      <c r="M156" s="17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hidden="1" customHeight="1" outlineLevel="1">
      <c r="A157" s="1"/>
      <c r="B157" s="153" t="s">
        <v>73</v>
      </c>
      <c r="C157" s="192" t="s">
        <v>440</v>
      </c>
      <c r="D157" s="191"/>
      <c r="E157" s="187" t="s">
        <v>452</v>
      </c>
      <c r="F157" s="193" t="s">
        <v>368</v>
      </c>
      <c r="G157" s="189" t="s">
        <v>369</v>
      </c>
      <c r="H157" s="85" t="s">
        <v>72</v>
      </c>
      <c r="I157" s="186"/>
      <c r="J157" s="170"/>
      <c r="K157" s="163" t="s">
        <v>60</v>
      </c>
      <c r="L157" s="163" t="s">
        <v>36</v>
      </c>
      <c r="M157" s="17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 collapsed="1">
      <c r="A158" s="1"/>
      <c r="B158" s="135" t="s">
        <v>453</v>
      </c>
      <c r="C158" s="44"/>
      <c r="D158" s="44"/>
      <c r="E158" s="45"/>
      <c r="F158" s="138"/>
      <c r="G158" s="138"/>
      <c r="H158" s="138"/>
      <c r="I158" s="141"/>
      <c r="J158" s="137"/>
      <c r="K158" s="137"/>
      <c r="L158" s="137"/>
      <c r="M158" s="17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53" t="s">
        <v>73</v>
      </c>
      <c r="C159" s="85" t="s">
        <v>453</v>
      </c>
      <c r="D159" s="67">
        <v>10.0</v>
      </c>
      <c r="E159" s="187" t="s">
        <v>454</v>
      </c>
      <c r="F159" s="194" t="s">
        <v>455</v>
      </c>
      <c r="G159" s="153" t="s">
        <v>456</v>
      </c>
      <c r="H159" s="85" t="s">
        <v>85</v>
      </c>
      <c r="I159" s="186"/>
      <c r="J159" s="170"/>
      <c r="K159" s="163" t="s">
        <v>60</v>
      </c>
      <c r="L159" s="163" t="s">
        <v>36</v>
      </c>
      <c r="M159" s="17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53" t="s">
        <v>73</v>
      </c>
      <c r="C160" s="85" t="s">
        <v>453</v>
      </c>
      <c r="D160" s="190"/>
      <c r="E160" s="187" t="s">
        <v>457</v>
      </c>
      <c r="F160" s="194" t="s">
        <v>458</v>
      </c>
      <c r="G160" s="153" t="s">
        <v>459</v>
      </c>
      <c r="H160" s="85" t="s">
        <v>85</v>
      </c>
      <c r="I160" s="186"/>
      <c r="J160" s="170"/>
      <c r="K160" s="163" t="s">
        <v>60</v>
      </c>
      <c r="L160" s="163" t="s">
        <v>36</v>
      </c>
      <c r="M160" s="17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53" t="s">
        <v>73</v>
      </c>
      <c r="C161" s="85" t="s">
        <v>453</v>
      </c>
      <c r="D161" s="191"/>
      <c r="E161" s="187" t="s">
        <v>460</v>
      </c>
      <c r="F161" s="194" t="s">
        <v>461</v>
      </c>
      <c r="G161" s="153" t="s">
        <v>462</v>
      </c>
      <c r="H161" s="85" t="s">
        <v>85</v>
      </c>
      <c r="I161" s="186"/>
      <c r="J161" s="170"/>
      <c r="K161" s="163" t="s">
        <v>60</v>
      </c>
      <c r="L161" s="163" t="s">
        <v>36</v>
      </c>
      <c r="M161" s="17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35" t="s">
        <v>463</v>
      </c>
      <c r="C162" s="44"/>
      <c r="D162" s="44"/>
      <c r="E162" s="45"/>
      <c r="F162" s="138"/>
      <c r="G162" s="138"/>
      <c r="H162" s="138"/>
      <c r="I162" s="141"/>
      <c r="J162" s="137"/>
      <c r="K162" s="137"/>
      <c r="L162" s="137"/>
      <c r="M162" s="17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53" t="s">
        <v>73</v>
      </c>
      <c r="C163" s="192" t="s">
        <v>463</v>
      </c>
      <c r="D163" s="85">
        <v>11.0</v>
      </c>
      <c r="E163" s="187" t="s">
        <v>464</v>
      </c>
      <c r="F163" s="159" t="s">
        <v>465</v>
      </c>
      <c r="G163" s="159" t="s">
        <v>466</v>
      </c>
      <c r="H163" s="85" t="s">
        <v>85</v>
      </c>
      <c r="I163" s="186"/>
      <c r="J163" s="170"/>
      <c r="K163" s="163" t="s">
        <v>60</v>
      </c>
      <c r="L163" s="163" t="s">
        <v>66</v>
      </c>
      <c r="M163" s="17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35" t="s">
        <v>467</v>
      </c>
      <c r="C164" s="44"/>
      <c r="D164" s="44"/>
      <c r="E164" s="45"/>
      <c r="F164" s="138"/>
      <c r="G164" s="138"/>
      <c r="H164" s="138"/>
      <c r="I164" s="141"/>
      <c r="J164" s="137"/>
      <c r="K164" s="137"/>
      <c r="L164" s="137"/>
      <c r="M164" s="17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53" t="s">
        <v>73</v>
      </c>
      <c r="C165" s="192" t="s">
        <v>468</v>
      </c>
      <c r="D165" s="85">
        <v>12.0</v>
      </c>
      <c r="E165" s="187" t="s">
        <v>469</v>
      </c>
      <c r="F165" s="195" t="s">
        <v>470</v>
      </c>
      <c r="G165" s="188" t="s">
        <v>471</v>
      </c>
      <c r="H165" s="85" t="s">
        <v>85</v>
      </c>
      <c r="I165" s="186"/>
      <c r="J165" s="170"/>
      <c r="K165" s="163" t="s">
        <v>60</v>
      </c>
      <c r="L165" s="163" t="s">
        <v>36</v>
      </c>
      <c r="M165" s="17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32.25" customHeight="1">
      <c r="A166" s="97"/>
      <c r="B166" s="196"/>
      <c r="C166" s="197"/>
      <c r="D166" s="198"/>
      <c r="E166" s="142"/>
      <c r="F166" s="199"/>
      <c r="G166" s="196"/>
      <c r="H166" s="148"/>
      <c r="I166" s="200"/>
      <c r="J166" s="201"/>
      <c r="K166" s="148"/>
      <c r="L166" s="148"/>
      <c r="M166" s="97"/>
      <c r="N166" s="97"/>
      <c r="O166" s="97"/>
      <c r="P166" s="97"/>
      <c r="Q166" s="8"/>
      <c r="R166" s="97"/>
      <c r="S166" s="97"/>
      <c r="T166" s="97"/>
      <c r="U166" s="97"/>
      <c r="V166" s="97"/>
      <c r="W166" s="97"/>
      <c r="X166" s="97"/>
      <c r="Y166" s="97"/>
      <c r="Z166" s="1"/>
      <c r="AA166" s="1"/>
      <c r="AB166" s="1"/>
    </row>
    <row r="167" ht="15.75" customHeight="1">
      <c r="A167" s="1"/>
      <c r="B167" s="202"/>
      <c r="C167" s="143"/>
      <c r="D167" s="143"/>
      <c r="E167" s="203"/>
      <c r="F167" s="204"/>
      <c r="G167" s="116"/>
      <c r="H167" s="205"/>
      <c r="I167" s="11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0" customHeight="1">
      <c r="A168" s="1"/>
      <c r="B168" s="206" t="s">
        <v>472</v>
      </c>
      <c r="C168" s="143"/>
      <c r="D168" s="143"/>
      <c r="E168" s="203"/>
      <c r="F168" s="204"/>
      <c r="G168" s="116"/>
      <c r="H168" s="205"/>
      <c r="I168" s="11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0" customHeight="1">
      <c r="A169" s="1"/>
      <c r="B169" s="207" t="s">
        <v>473</v>
      </c>
      <c r="C169" s="143"/>
      <c r="D169" s="143"/>
      <c r="E169" s="203"/>
      <c r="F169" s="204"/>
      <c r="G169" s="116"/>
      <c r="H169" s="205"/>
      <c r="I169" s="11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0" customHeight="1">
      <c r="A170" s="1"/>
      <c r="B170" s="207" t="s">
        <v>474</v>
      </c>
      <c r="C170" s="143"/>
      <c r="D170" s="143"/>
      <c r="E170" s="203"/>
      <c r="F170" s="204"/>
      <c r="G170" s="116"/>
      <c r="H170" s="205"/>
      <c r="I170" s="11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0" customHeight="1">
      <c r="A171" s="1"/>
      <c r="B171" s="207" t="s">
        <v>475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0" customHeight="1">
      <c r="A172" s="1"/>
      <c r="B172" s="207" t="s">
        <v>476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0" customHeight="1">
      <c r="A173" s="1"/>
      <c r="B173" s="207" t="s">
        <v>477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0" customHeight="1">
      <c r="A174" s="1"/>
      <c r="B174" s="207" t="s">
        <v>478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39">
    <mergeCell ref="J6:J7"/>
    <mergeCell ref="K6:K7"/>
    <mergeCell ref="B2:J4"/>
    <mergeCell ref="E6:E7"/>
    <mergeCell ref="F6:F7"/>
    <mergeCell ref="G6:G7"/>
    <mergeCell ref="H6:H7"/>
    <mergeCell ref="I6:I7"/>
    <mergeCell ref="B10:J12"/>
    <mergeCell ref="J14:J15"/>
    <mergeCell ref="K14:K15"/>
    <mergeCell ref="L14:L15"/>
    <mergeCell ref="D6:D7"/>
    <mergeCell ref="D14:D15"/>
    <mergeCell ref="E14:E15"/>
    <mergeCell ref="F14:F15"/>
    <mergeCell ref="G14:G15"/>
    <mergeCell ref="H14:H15"/>
    <mergeCell ref="I14:I15"/>
    <mergeCell ref="B16:B17"/>
    <mergeCell ref="G16:G17"/>
    <mergeCell ref="H16:H17"/>
    <mergeCell ref="I16:I17"/>
    <mergeCell ref="G18:G19"/>
    <mergeCell ref="H18:H19"/>
    <mergeCell ref="I18:I19"/>
    <mergeCell ref="B107:E107"/>
    <mergeCell ref="B142:E142"/>
    <mergeCell ref="B150:E150"/>
    <mergeCell ref="B158:E158"/>
    <mergeCell ref="B162:E162"/>
    <mergeCell ref="B164:E164"/>
    <mergeCell ref="C16:C17"/>
    <mergeCell ref="B22:C22"/>
    <mergeCell ref="B34:E34"/>
    <mergeCell ref="B47:E47"/>
    <mergeCell ref="B61:E61"/>
    <mergeCell ref="B75:E75"/>
    <mergeCell ref="B91:E91"/>
  </mergeCells>
  <dataValidations>
    <dataValidation type="list" allowBlank="1" showErrorMessage="1" sqref="C8 C16">
      <formula1>"Development,UAT"</formula1>
    </dataValidation>
    <dataValidation type="list" allowBlank="1" showErrorMessage="1" sqref="B23:B33 B35:B46 B48:B60 B62:B74 B76:B90 B92:B106 B108:B141">
      <formula1>"Input Data,Cek Data,Cek Laporan,Cek Jurnal,COB,Reverse Data"</formula1>
    </dataValidation>
    <dataValidation type="list" allowBlank="1" showErrorMessage="1" sqref="H23:H33 H35:H46 H48:H60 H62:H74 H76:H90 H92:H106 H108:H141 H143:H149 H151:H157 H159:H161 H163 H165:H166 G167:G170">
      <formula1>"Berhasil,Gagal,Siap dites,Tidak dites,Belum dites,Butuh konfirmasi"</formula1>
    </dataValidation>
    <dataValidation type="list" allowBlank="1" showErrorMessage="1" sqref="C7 C15 C18:C19">
      <formula1>"New Project,Enhancement,Bug Fixing"</formula1>
    </dataValidation>
    <dataValidation type="list" allowBlank="1" showErrorMessage="1" sqref="B143:B149 B151:B157 B159:B161 B163 B165">
      <formula1>$P$2:$P$5</formula1>
    </dataValidation>
    <dataValidation type="list" allowBlank="1" showErrorMessage="1" sqref="K23:K33 K35:K46 K48:K60 K62:K74 K76:K90 K92:K106 K108:K141 K143:K149 K151:K157 K159:K161 K163 K165:K166 I167:I170">
      <formula1>"Script Plan,Script Tambahan"</formula1>
    </dataValidation>
  </dataValidations>
  <printOptions/>
  <pageMargins bottom="0.2362204724409449" footer="0.0" header="0.0" left="0.1968503937007874" right="0.1968503937007874" top="0.1968503937007874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0"/>
    <col customWidth="1" min="2" max="3" width="16.57"/>
    <col customWidth="1" min="4" max="4" width="16.43"/>
    <col customWidth="1" min="5" max="5" width="12.14"/>
    <col customWidth="1" min="6" max="6" width="16.0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21" t="s">
        <v>3</v>
      </c>
      <c r="C5" s="15"/>
      <c r="D5" s="2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32"/>
      <c r="C6" s="35"/>
      <c r="D6" s="3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41" t="s">
        <v>7</v>
      </c>
      <c r="C7" s="41" t="s">
        <v>9</v>
      </c>
      <c r="D7" s="41" t="s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49"/>
      <c r="C8" s="49"/>
      <c r="D8" s="4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53" t="s">
        <v>26</v>
      </c>
      <c r="C9" s="68">
        <f>COUNTIF('UAT Script'!H22:H165,"Berhasil")</f>
        <v>56</v>
      </c>
      <c r="D9" s="75">
        <f>C9/C15</f>
        <v>0.4242424242</v>
      </c>
      <c r="E9" s="1"/>
      <c r="F9" s="7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83" t="s">
        <v>45</v>
      </c>
      <c r="C10" s="88">
        <f>COUNTIF('UAT Script'!H22:H165,"Gagal")</f>
        <v>0</v>
      </c>
      <c r="D10" s="92">
        <f>C10/C15</f>
        <v>0</v>
      </c>
      <c r="E10" s="1"/>
      <c r="F10" s="7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98" t="s">
        <v>57</v>
      </c>
      <c r="C11" s="100">
        <f>COUNTIF('UAT Script'!H22:H165,"Siap dites")</f>
        <v>0</v>
      </c>
      <c r="D11" s="103">
        <f>C11/C15</f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05" t="s">
        <v>72</v>
      </c>
      <c r="C12" s="108">
        <f>COUNTIF('UAT Script'!H22:H165,"Tidak dites")</f>
        <v>71</v>
      </c>
      <c r="D12" s="110">
        <f>C12/C15</f>
        <v>0.5378787879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15" t="s">
        <v>85</v>
      </c>
      <c r="C13" s="119">
        <f>COUNTIF('UAT Script'!H22:H165,"Belum dites")</f>
        <v>5</v>
      </c>
      <c r="D13" s="125">
        <f>C13/C15</f>
        <v>0.03787878788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27" t="s">
        <v>55</v>
      </c>
      <c r="C14" s="129">
        <f>COUNTIF('UAT Script'!H22:H165,"Butuh Konfirmasi")</f>
        <v>0</v>
      </c>
      <c r="D14" s="130">
        <f>C14/C15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34" t="s">
        <v>103</v>
      </c>
      <c r="C15" s="136">
        <f t="shared" ref="C15:D15" si="1">SUM(C9:C14)</f>
        <v>132</v>
      </c>
      <c r="D15" s="139">
        <f t="shared" si="1"/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44" t="s">
        <v>115</v>
      </c>
      <c r="C16" s="152">
        <f>SUM(D9,D12)</f>
        <v>0.9621212121</v>
      </c>
      <c r="D16" s="4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55"/>
      <c r="C17" s="156"/>
      <c r="D17" s="15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5:D6"/>
    <mergeCell ref="B7:B8"/>
    <mergeCell ref="C7:C8"/>
    <mergeCell ref="D7:D8"/>
    <mergeCell ref="C16:D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57"/>
    <col customWidth="1" min="2" max="2" width="10.43"/>
    <col customWidth="1" min="3" max="3" width="21.86"/>
    <col customWidth="1" min="4" max="4" width="60.43"/>
    <col customWidth="1" min="5" max="5" width="57.0"/>
    <col customWidth="1" min="6" max="6" width="21.43"/>
    <col customWidth="1" min="7" max="7" width="17.43"/>
    <col customWidth="1" min="8" max="8" width="19.29"/>
    <col customWidth="1" min="9" max="9" width="16.43"/>
    <col customWidth="1" min="10" max="10" width="25.86"/>
    <col customWidth="1" min="11" max="11" width="23.71"/>
    <col customWidth="1" min="12" max="12" width="27.14"/>
    <col customWidth="1" min="13" max="13" width="20.29"/>
    <col customWidth="1" min="14" max="14" width="25.14"/>
    <col customWidth="1" min="15" max="15" width="4.14"/>
    <col customWidth="1" hidden="1" min="16" max="16" width="9.71"/>
    <col customWidth="1" hidden="1" min="17" max="17" width="14.86"/>
    <col customWidth="1" hidden="1" min="18" max="18" width="7.57"/>
    <col customWidth="1" min="19" max="26" width="9.14"/>
  </cols>
  <sheetData>
    <row r="1">
      <c r="A1" s="2"/>
      <c r="B1" s="2"/>
      <c r="C1" s="2"/>
      <c r="D1" s="2"/>
      <c r="E1" s="2"/>
      <c r="F1" s="2"/>
      <c r="G1" s="2"/>
      <c r="H1" s="4"/>
      <c r="I1" s="5"/>
      <c r="J1" s="2"/>
      <c r="K1" s="6"/>
      <c r="L1" s="6"/>
      <c r="M1" s="7"/>
      <c r="N1" s="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14" t="s">
        <v>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2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4"/>
      <c r="O3" s="2"/>
      <c r="P3" s="2" t="s">
        <v>4</v>
      </c>
      <c r="Q3" s="2" t="s">
        <v>5</v>
      </c>
      <c r="R3" s="2" t="s">
        <v>6</v>
      </c>
      <c r="S3" s="2"/>
      <c r="T3" s="2"/>
      <c r="U3" s="2"/>
      <c r="V3" s="2"/>
      <c r="W3" s="2"/>
      <c r="X3" s="2"/>
      <c r="Y3" s="2"/>
      <c r="Z3" s="2"/>
    </row>
    <row r="4" ht="29.25" customHeight="1">
      <c r="A4" s="2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4.25" customHeight="1">
      <c r="A5" s="40"/>
      <c r="B5" s="43" t="s">
        <v>8</v>
      </c>
      <c r="C5" s="44"/>
      <c r="D5" s="45"/>
      <c r="E5" s="48" t="s">
        <v>11</v>
      </c>
      <c r="F5" s="45"/>
      <c r="G5" s="51"/>
      <c r="H5" s="51"/>
      <c r="I5" s="43" t="s">
        <v>25</v>
      </c>
      <c r="J5" s="45"/>
      <c r="K5" s="54"/>
      <c r="L5" s="44"/>
      <c r="M5" s="44"/>
      <c r="N5" s="45"/>
      <c r="O5" s="40"/>
      <c r="P5" s="2" t="s">
        <v>27</v>
      </c>
      <c r="Q5" s="2" t="s">
        <v>28</v>
      </c>
      <c r="R5" s="2" t="s">
        <v>29</v>
      </c>
      <c r="S5" s="40"/>
      <c r="T5" s="40"/>
      <c r="U5" s="40"/>
      <c r="V5" s="40"/>
      <c r="W5" s="40"/>
      <c r="X5" s="40"/>
      <c r="Y5" s="40"/>
      <c r="Z5" s="40"/>
    </row>
    <row r="6" ht="44.25" customHeight="1">
      <c r="A6" s="40"/>
      <c r="B6" s="43" t="s">
        <v>30</v>
      </c>
      <c r="C6" s="44"/>
      <c r="D6" s="45"/>
      <c r="E6" s="61"/>
      <c r="F6" s="45"/>
      <c r="G6" s="51"/>
      <c r="H6" s="51"/>
      <c r="I6" s="43" t="s">
        <v>34</v>
      </c>
      <c r="J6" s="45"/>
      <c r="K6" s="69"/>
      <c r="L6" s="44"/>
      <c r="M6" s="44"/>
      <c r="N6" s="45"/>
      <c r="O6" s="40"/>
      <c r="P6" s="2" t="s">
        <v>38</v>
      </c>
      <c r="Q6" s="2" t="s">
        <v>39</v>
      </c>
      <c r="R6" s="2"/>
      <c r="S6" s="40"/>
      <c r="T6" s="40"/>
      <c r="U6" s="40"/>
      <c r="V6" s="40"/>
      <c r="W6" s="40"/>
      <c r="X6" s="40"/>
      <c r="Y6" s="40"/>
      <c r="Z6" s="40"/>
    </row>
    <row r="7">
      <c r="A7" s="40"/>
      <c r="B7" s="40"/>
      <c r="C7" s="72"/>
      <c r="D7" s="40"/>
      <c r="E7" s="40"/>
      <c r="F7" s="40"/>
      <c r="G7" s="40"/>
      <c r="H7" s="74"/>
      <c r="I7" s="76"/>
      <c r="J7" s="40"/>
      <c r="K7" s="81"/>
      <c r="L7" s="81"/>
      <c r="M7" s="72"/>
      <c r="N7" s="72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34.5" customHeight="1">
      <c r="A8" s="84"/>
      <c r="B8" s="86" t="s">
        <v>47</v>
      </c>
      <c r="C8" s="89" t="s">
        <v>15</v>
      </c>
      <c r="D8" s="86" t="s">
        <v>13</v>
      </c>
      <c r="E8" s="86" t="s">
        <v>51</v>
      </c>
      <c r="F8" s="86" t="s">
        <v>52</v>
      </c>
      <c r="G8" s="91" t="s">
        <v>53</v>
      </c>
      <c r="H8" s="94" t="s">
        <v>56</v>
      </c>
      <c r="I8" s="99" t="s">
        <v>58</v>
      </c>
      <c r="J8" s="86" t="s">
        <v>62</v>
      </c>
      <c r="K8" s="86" t="s">
        <v>63</v>
      </c>
      <c r="L8" s="94" t="s">
        <v>64</v>
      </c>
      <c r="M8" s="86" t="s">
        <v>20</v>
      </c>
      <c r="N8" s="86" t="s">
        <v>65</v>
      </c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32.25" customHeight="1">
      <c r="A9" s="2"/>
      <c r="B9" s="102"/>
      <c r="C9" s="85"/>
      <c r="D9" s="104"/>
      <c r="E9" s="104"/>
      <c r="F9" s="102"/>
      <c r="G9" s="85"/>
      <c r="H9" s="95"/>
      <c r="I9" s="114" t="str">
        <f t="shared" ref="I9:I14" si="1">IF(H9&lt;&gt;"",IF(N9&lt;&gt;"",N9-H9,TODAY()-H9),"")</f>
        <v/>
      </c>
      <c r="J9" s="117"/>
      <c r="K9" s="120"/>
      <c r="L9" s="95"/>
      <c r="M9" s="85"/>
      <c r="N9" s="9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2.25" customHeight="1">
      <c r="A10" s="2"/>
      <c r="B10" s="102"/>
      <c r="C10" s="85"/>
      <c r="D10" s="104"/>
      <c r="E10" s="104"/>
      <c r="F10" s="102"/>
      <c r="G10" s="85"/>
      <c r="H10" s="95"/>
      <c r="I10" s="114" t="str">
        <f t="shared" si="1"/>
        <v/>
      </c>
      <c r="J10" s="117"/>
      <c r="K10" s="120"/>
      <c r="L10" s="95"/>
      <c r="M10" s="85"/>
      <c r="N10" s="95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2.25" customHeight="1">
      <c r="A11" s="2"/>
      <c r="B11" s="102"/>
      <c r="C11" s="85"/>
      <c r="D11" s="104"/>
      <c r="E11" s="104"/>
      <c r="F11" s="102"/>
      <c r="G11" s="85"/>
      <c r="H11" s="95"/>
      <c r="I11" s="114" t="str">
        <f t="shared" si="1"/>
        <v/>
      </c>
      <c r="J11" s="117"/>
      <c r="K11" s="120"/>
      <c r="L11" s="95"/>
      <c r="M11" s="85"/>
      <c r="N11" s="9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2.25" customHeight="1">
      <c r="A12" s="2"/>
      <c r="B12" s="102"/>
      <c r="C12" s="85"/>
      <c r="D12" s="104"/>
      <c r="E12" s="104"/>
      <c r="F12" s="102"/>
      <c r="G12" s="85"/>
      <c r="H12" s="95"/>
      <c r="I12" s="114" t="str">
        <f t="shared" si="1"/>
        <v/>
      </c>
      <c r="J12" s="117"/>
      <c r="K12" s="120"/>
      <c r="L12" s="95"/>
      <c r="M12" s="85"/>
      <c r="N12" s="9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>
      <c r="A13" s="2"/>
      <c r="B13" s="102"/>
      <c r="C13" s="85"/>
      <c r="D13" s="104"/>
      <c r="E13" s="104"/>
      <c r="F13" s="102"/>
      <c r="G13" s="85"/>
      <c r="H13" s="95"/>
      <c r="I13" s="114" t="str">
        <f t="shared" si="1"/>
        <v/>
      </c>
      <c r="J13" s="117"/>
      <c r="K13" s="120"/>
      <c r="L13" s="95"/>
      <c r="M13" s="85"/>
      <c r="N13" s="95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2.25" customHeight="1">
      <c r="A14" s="2"/>
      <c r="B14" s="102"/>
      <c r="C14" s="85"/>
      <c r="D14" s="104"/>
      <c r="E14" s="104"/>
      <c r="F14" s="102"/>
      <c r="G14" s="85"/>
      <c r="H14" s="95"/>
      <c r="I14" s="114" t="str">
        <f t="shared" si="1"/>
        <v/>
      </c>
      <c r="J14" s="117"/>
      <c r="K14" s="120"/>
      <c r="L14" s="95"/>
      <c r="M14" s="85"/>
      <c r="N14" s="9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40"/>
      <c r="C15" s="142"/>
      <c r="D15" s="143"/>
      <c r="E15" s="143"/>
      <c r="F15" s="7"/>
      <c r="G15" s="116"/>
      <c r="H15" s="146"/>
      <c r="I15" s="147"/>
      <c r="J15" s="148"/>
      <c r="K15" s="150"/>
      <c r="L15" s="146"/>
      <c r="M15" s="116"/>
      <c r="N15" s="146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40"/>
      <c r="C16" s="142"/>
      <c r="D16" s="143"/>
      <c r="E16" s="143"/>
      <c r="F16" s="7"/>
      <c r="G16" s="116"/>
      <c r="H16" s="146"/>
      <c r="I16" s="147"/>
      <c r="J16" s="148"/>
      <c r="K16" s="150"/>
      <c r="L16" s="146"/>
      <c r="M16" s="116"/>
      <c r="N16" s="146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" t="s">
        <v>119</v>
      </c>
      <c r="F17" s="2"/>
      <c r="G17" s="2"/>
      <c r="H17" s="4"/>
      <c r="I17" s="5"/>
      <c r="J17" s="2"/>
      <c r="K17" s="6"/>
      <c r="L17" s="6"/>
      <c r="M17" s="7"/>
      <c r="N17" s="7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4"/>
      <c r="I18" s="5"/>
      <c r="J18" s="2"/>
      <c r="K18" s="6"/>
      <c r="L18" s="6"/>
      <c r="M18" s="7"/>
      <c r="N18" s="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4"/>
      <c r="I19" s="5"/>
      <c r="J19" s="2"/>
      <c r="K19" s="6"/>
      <c r="L19" s="6"/>
      <c r="M19" s="7"/>
      <c r="N19" s="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4"/>
      <c r="I20" s="5"/>
      <c r="J20" s="2"/>
      <c r="K20" s="6"/>
      <c r="L20" s="6"/>
      <c r="M20" s="7"/>
      <c r="N20" s="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4"/>
      <c r="I21" s="5"/>
      <c r="J21" s="2"/>
      <c r="K21" s="6"/>
      <c r="L21" s="6"/>
      <c r="M21" s="7"/>
      <c r="N21" s="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4"/>
      <c r="I22" s="5"/>
      <c r="J22" s="2"/>
      <c r="K22" s="6"/>
      <c r="L22" s="6"/>
      <c r="M22" s="7"/>
      <c r="N22" s="7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4"/>
      <c r="I23" s="5"/>
      <c r="J23" s="2"/>
      <c r="K23" s="6"/>
      <c r="L23" s="6"/>
      <c r="M23" s="7"/>
      <c r="N23" s="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4"/>
      <c r="I24" s="5"/>
      <c r="J24" s="2"/>
      <c r="K24" s="6"/>
      <c r="L24" s="6"/>
      <c r="M24" s="7"/>
      <c r="N24" s="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4"/>
      <c r="I25" s="5"/>
      <c r="J25" s="2"/>
      <c r="K25" s="6"/>
      <c r="L25" s="6"/>
      <c r="M25" s="7"/>
      <c r="N25" s="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4"/>
      <c r="I26" s="5"/>
      <c r="J26" s="2"/>
      <c r="K26" s="6"/>
      <c r="L26" s="6"/>
      <c r="M26" s="7"/>
      <c r="N26" s="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4"/>
      <c r="I27" s="5"/>
      <c r="J27" s="2"/>
      <c r="K27" s="6"/>
      <c r="L27" s="6"/>
      <c r="M27" s="7"/>
      <c r="N27" s="7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4"/>
      <c r="I28" s="5"/>
      <c r="J28" s="2"/>
      <c r="K28" s="6"/>
      <c r="L28" s="6"/>
      <c r="M28" s="7"/>
      <c r="N28" s="7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4"/>
      <c r="I29" s="5"/>
      <c r="J29" s="2"/>
      <c r="K29" s="6"/>
      <c r="L29" s="6"/>
      <c r="M29" s="7"/>
      <c r="N29" s="7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4"/>
      <c r="I30" s="5"/>
      <c r="J30" s="2"/>
      <c r="K30" s="6"/>
      <c r="L30" s="6"/>
      <c r="M30" s="7"/>
      <c r="N30" s="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4"/>
      <c r="I31" s="5"/>
      <c r="J31" s="2"/>
      <c r="K31" s="6"/>
      <c r="L31" s="6"/>
      <c r="M31" s="7"/>
      <c r="N31" s="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4"/>
      <c r="I32" s="5"/>
      <c r="J32" s="2"/>
      <c r="K32" s="6"/>
      <c r="L32" s="6"/>
      <c r="M32" s="7"/>
      <c r="N32" s="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4"/>
      <c r="I33" s="5"/>
      <c r="J33" s="2"/>
      <c r="K33" s="6"/>
      <c r="L33" s="6"/>
      <c r="M33" s="7"/>
      <c r="N33" s="7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4"/>
      <c r="I34" s="5"/>
      <c r="J34" s="2"/>
      <c r="K34" s="6"/>
      <c r="L34" s="6"/>
      <c r="M34" s="7"/>
      <c r="N34" s="7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4"/>
      <c r="I35" s="5"/>
      <c r="J35" s="2"/>
      <c r="K35" s="6"/>
      <c r="L35" s="6"/>
      <c r="M35" s="7"/>
      <c r="N35" s="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4"/>
      <c r="I36" s="5"/>
      <c r="J36" s="2"/>
      <c r="K36" s="6"/>
      <c r="L36" s="6"/>
      <c r="M36" s="7"/>
      <c r="N36" s="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4"/>
      <c r="I37" s="5"/>
      <c r="J37" s="2"/>
      <c r="K37" s="6"/>
      <c r="L37" s="6"/>
      <c r="M37" s="7"/>
      <c r="N37" s="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4"/>
      <c r="I38" s="5"/>
      <c r="J38" s="2"/>
      <c r="K38" s="6"/>
      <c r="L38" s="6"/>
      <c r="M38" s="7"/>
      <c r="N38" s="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4"/>
      <c r="I39" s="5"/>
      <c r="J39" s="2"/>
      <c r="K39" s="6"/>
      <c r="L39" s="6"/>
      <c r="M39" s="7"/>
      <c r="N39" s="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4"/>
      <c r="I40" s="5"/>
      <c r="J40" s="2"/>
      <c r="K40" s="6"/>
      <c r="L40" s="6"/>
      <c r="M40" s="7"/>
      <c r="N40" s="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4"/>
      <c r="I41" s="5"/>
      <c r="J41" s="2"/>
      <c r="K41" s="6"/>
      <c r="L41" s="6"/>
      <c r="M41" s="7"/>
      <c r="N41" s="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4"/>
      <c r="I42" s="5"/>
      <c r="J42" s="2"/>
      <c r="K42" s="6"/>
      <c r="L42" s="6"/>
      <c r="M42" s="7"/>
      <c r="N42" s="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4"/>
      <c r="I43" s="5"/>
      <c r="J43" s="2"/>
      <c r="K43" s="6"/>
      <c r="L43" s="6"/>
      <c r="M43" s="7"/>
      <c r="N43" s="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4"/>
      <c r="I44" s="5"/>
      <c r="J44" s="2"/>
      <c r="K44" s="6"/>
      <c r="L44" s="6"/>
      <c r="M44" s="7"/>
      <c r="N44" s="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4"/>
      <c r="I45" s="5"/>
      <c r="J45" s="2"/>
      <c r="K45" s="6"/>
      <c r="L45" s="6"/>
      <c r="M45" s="7"/>
      <c r="N45" s="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4"/>
      <c r="I46" s="5"/>
      <c r="J46" s="2"/>
      <c r="K46" s="6"/>
      <c r="L46" s="6"/>
      <c r="M46" s="7"/>
      <c r="N46" s="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4"/>
      <c r="I47" s="5"/>
      <c r="J47" s="2"/>
      <c r="K47" s="6"/>
      <c r="L47" s="6"/>
      <c r="M47" s="7"/>
      <c r="N47" s="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4"/>
      <c r="I48" s="5"/>
      <c r="J48" s="2"/>
      <c r="K48" s="6"/>
      <c r="L48" s="6"/>
      <c r="M48" s="7"/>
      <c r="N48" s="7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4"/>
      <c r="I49" s="5"/>
      <c r="J49" s="2"/>
      <c r="K49" s="6"/>
      <c r="L49" s="6"/>
      <c r="M49" s="7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4"/>
      <c r="I50" s="5"/>
      <c r="J50" s="2"/>
      <c r="K50" s="6"/>
      <c r="L50" s="6"/>
      <c r="M50" s="7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4"/>
      <c r="I51" s="5"/>
      <c r="J51" s="2"/>
      <c r="K51" s="6"/>
      <c r="L51" s="6"/>
      <c r="M51" s="7"/>
      <c r="N51" s="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4"/>
      <c r="I52" s="5"/>
      <c r="J52" s="2"/>
      <c r="K52" s="6"/>
      <c r="L52" s="6"/>
      <c r="M52" s="7"/>
      <c r="N52" s="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4"/>
      <c r="I53" s="5"/>
      <c r="J53" s="2"/>
      <c r="K53" s="6"/>
      <c r="L53" s="6"/>
      <c r="M53" s="7"/>
      <c r="N53" s="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4"/>
      <c r="I54" s="5"/>
      <c r="J54" s="2"/>
      <c r="K54" s="6"/>
      <c r="L54" s="6"/>
      <c r="M54" s="7"/>
      <c r="N54" s="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4"/>
      <c r="I55" s="5"/>
      <c r="J55" s="2"/>
      <c r="K55" s="6"/>
      <c r="L55" s="6"/>
      <c r="M55" s="7"/>
      <c r="N55" s="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4"/>
      <c r="I56" s="5"/>
      <c r="J56" s="2"/>
      <c r="K56" s="6"/>
      <c r="L56" s="6"/>
      <c r="M56" s="7"/>
      <c r="N56" s="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4"/>
      <c r="I57" s="5"/>
      <c r="J57" s="2"/>
      <c r="K57" s="6"/>
      <c r="L57" s="6"/>
      <c r="M57" s="7"/>
      <c r="N57" s="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4"/>
      <c r="I58" s="5"/>
      <c r="J58" s="2"/>
      <c r="K58" s="6"/>
      <c r="L58" s="6"/>
      <c r="M58" s="7"/>
      <c r="N58" s="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4"/>
      <c r="I59" s="5"/>
      <c r="J59" s="2"/>
      <c r="K59" s="6"/>
      <c r="L59" s="6"/>
      <c r="M59" s="7"/>
      <c r="N59" s="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4"/>
      <c r="I60" s="5"/>
      <c r="J60" s="2"/>
      <c r="K60" s="6"/>
      <c r="L60" s="6"/>
      <c r="M60" s="7"/>
      <c r="N60" s="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4"/>
      <c r="I61" s="5"/>
      <c r="J61" s="2"/>
      <c r="K61" s="6"/>
      <c r="L61" s="6"/>
      <c r="M61" s="7"/>
      <c r="N61" s="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4"/>
      <c r="I62" s="5"/>
      <c r="J62" s="2"/>
      <c r="K62" s="6"/>
      <c r="L62" s="6"/>
      <c r="M62" s="7"/>
      <c r="N62" s="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4"/>
      <c r="I63" s="5"/>
      <c r="J63" s="2"/>
      <c r="K63" s="6"/>
      <c r="L63" s="6"/>
      <c r="M63" s="7"/>
      <c r="N63" s="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4"/>
      <c r="I64" s="5"/>
      <c r="J64" s="2"/>
      <c r="K64" s="6"/>
      <c r="L64" s="6"/>
      <c r="M64" s="7"/>
      <c r="N64" s="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4"/>
      <c r="I65" s="5"/>
      <c r="J65" s="2"/>
      <c r="K65" s="6"/>
      <c r="L65" s="6"/>
      <c r="M65" s="7"/>
      <c r="N65" s="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4"/>
      <c r="I66" s="5"/>
      <c r="J66" s="2"/>
      <c r="K66" s="6"/>
      <c r="L66" s="6"/>
      <c r="M66" s="7"/>
      <c r="N66" s="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4"/>
      <c r="I67" s="5"/>
      <c r="J67" s="2"/>
      <c r="K67" s="6"/>
      <c r="L67" s="6"/>
      <c r="M67" s="7"/>
      <c r="N67" s="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4"/>
      <c r="I68" s="5"/>
      <c r="J68" s="2"/>
      <c r="K68" s="6"/>
      <c r="L68" s="6"/>
      <c r="M68" s="7"/>
      <c r="N68" s="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4"/>
      <c r="I69" s="5"/>
      <c r="J69" s="2"/>
      <c r="K69" s="6"/>
      <c r="L69" s="6"/>
      <c r="M69" s="7"/>
      <c r="N69" s="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4"/>
      <c r="I70" s="5"/>
      <c r="J70" s="2"/>
      <c r="K70" s="6"/>
      <c r="L70" s="6"/>
      <c r="M70" s="7"/>
      <c r="N70" s="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4"/>
      <c r="I71" s="5"/>
      <c r="J71" s="2"/>
      <c r="K71" s="6"/>
      <c r="L71" s="6"/>
      <c r="M71" s="7"/>
      <c r="N71" s="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4"/>
      <c r="I72" s="5"/>
      <c r="J72" s="2"/>
      <c r="K72" s="6"/>
      <c r="L72" s="6"/>
      <c r="M72" s="7"/>
      <c r="N72" s="7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4"/>
      <c r="I73" s="5"/>
      <c r="J73" s="2"/>
      <c r="K73" s="6"/>
      <c r="L73" s="6"/>
      <c r="M73" s="7"/>
      <c r="N73" s="7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4"/>
      <c r="I74" s="5"/>
      <c r="J74" s="2"/>
      <c r="K74" s="6"/>
      <c r="L74" s="6"/>
      <c r="M74" s="7"/>
      <c r="N74" s="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4"/>
      <c r="I75" s="5"/>
      <c r="J75" s="2"/>
      <c r="K75" s="6"/>
      <c r="L75" s="6"/>
      <c r="M75" s="7"/>
      <c r="N75" s="7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4"/>
      <c r="I76" s="5"/>
      <c r="J76" s="2"/>
      <c r="K76" s="6"/>
      <c r="L76" s="6"/>
      <c r="M76" s="7"/>
      <c r="N76" s="7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4"/>
      <c r="I77" s="5"/>
      <c r="J77" s="2"/>
      <c r="K77" s="6"/>
      <c r="L77" s="6"/>
      <c r="M77" s="7"/>
      <c r="N77" s="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4"/>
      <c r="I78" s="5"/>
      <c r="J78" s="2"/>
      <c r="K78" s="6"/>
      <c r="L78" s="6"/>
      <c r="M78" s="7"/>
      <c r="N78" s="7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4"/>
      <c r="I79" s="5"/>
      <c r="J79" s="2"/>
      <c r="K79" s="6"/>
      <c r="L79" s="6"/>
      <c r="M79" s="7"/>
      <c r="N79" s="7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4"/>
      <c r="I80" s="5"/>
      <c r="J80" s="2"/>
      <c r="K80" s="6"/>
      <c r="L80" s="6"/>
      <c r="M80" s="7"/>
      <c r="N80" s="7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4"/>
      <c r="I81" s="5"/>
      <c r="J81" s="2"/>
      <c r="K81" s="6"/>
      <c r="L81" s="6"/>
      <c r="M81" s="7"/>
      <c r="N81" s="7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4"/>
      <c r="I82" s="5"/>
      <c r="J82" s="2"/>
      <c r="K82" s="6"/>
      <c r="L82" s="6"/>
      <c r="M82" s="7"/>
      <c r="N82" s="7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4"/>
      <c r="I83" s="5"/>
      <c r="J83" s="2"/>
      <c r="K83" s="6"/>
      <c r="L83" s="6"/>
      <c r="M83" s="7"/>
      <c r="N83" s="7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4"/>
      <c r="I84" s="5"/>
      <c r="J84" s="2"/>
      <c r="K84" s="6"/>
      <c r="L84" s="6"/>
      <c r="M84" s="7"/>
      <c r="N84" s="7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4"/>
      <c r="I85" s="5"/>
      <c r="J85" s="2"/>
      <c r="K85" s="6"/>
      <c r="L85" s="6"/>
      <c r="M85" s="7"/>
      <c r="N85" s="7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4"/>
      <c r="I86" s="5"/>
      <c r="J86" s="2"/>
      <c r="K86" s="6"/>
      <c r="L86" s="6"/>
      <c r="M86" s="7"/>
      <c r="N86" s="7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4"/>
      <c r="I87" s="5"/>
      <c r="J87" s="2"/>
      <c r="K87" s="6"/>
      <c r="L87" s="6"/>
      <c r="M87" s="7"/>
      <c r="N87" s="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4"/>
      <c r="I88" s="5"/>
      <c r="J88" s="2"/>
      <c r="K88" s="6"/>
      <c r="L88" s="6"/>
      <c r="M88" s="7"/>
      <c r="N88" s="7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4"/>
      <c r="I89" s="5"/>
      <c r="J89" s="2"/>
      <c r="K89" s="6"/>
      <c r="L89" s="6"/>
      <c r="M89" s="7"/>
      <c r="N89" s="7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4"/>
      <c r="I90" s="5"/>
      <c r="J90" s="2"/>
      <c r="K90" s="6"/>
      <c r="L90" s="6"/>
      <c r="M90" s="7"/>
      <c r="N90" s="7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4"/>
      <c r="I91" s="5"/>
      <c r="J91" s="2"/>
      <c r="K91" s="6"/>
      <c r="L91" s="6"/>
      <c r="M91" s="7"/>
      <c r="N91" s="7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4"/>
      <c r="I92" s="5"/>
      <c r="J92" s="2"/>
      <c r="K92" s="6"/>
      <c r="L92" s="6"/>
      <c r="M92" s="7"/>
      <c r="N92" s="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4"/>
      <c r="I93" s="5"/>
      <c r="J93" s="2"/>
      <c r="K93" s="6"/>
      <c r="L93" s="6"/>
      <c r="M93" s="7"/>
      <c r="N93" s="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4"/>
      <c r="I94" s="5"/>
      <c r="J94" s="2"/>
      <c r="K94" s="6"/>
      <c r="L94" s="6"/>
      <c r="M94" s="7"/>
      <c r="N94" s="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4"/>
      <c r="I95" s="5"/>
      <c r="J95" s="2"/>
      <c r="K95" s="6"/>
      <c r="L95" s="6"/>
      <c r="M95" s="7"/>
      <c r="N95" s="7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4"/>
      <c r="I96" s="5"/>
      <c r="J96" s="2"/>
      <c r="K96" s="6"/>
      <c r="L96" s="6"/>
      <c r="M96" s="7"/>
      <c r="N96" s="7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4"/>
      <c r="I97" s="5"/>
      <c r="J97" s="2"/>
      <c r="K97" s="6"/>
      <c r="L97" s="6"/>
      <c r="M97" s="7"/>
      <c r="N97" s="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4"/>
      <c r="I98" s="5"/>
      <c r="J98" s="2"/>
      <c r="K98" s="6"/>
      <c r="L98" s="6"/>
      <c r="M98" s="7"/>
      <c r="N98" s="7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4"/>
      <c r="I99" s="5"/>
      <c r="J99" s="2"/>
      <c r="K99" s="6"/>
      <c r="L99" s="6"/>
      <c r="M99" s="7"/>
      <c r="N99" s="7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4"/>
      <c r="I100" s="5"/>
      <c r="J100" s="2"/>
      <c r="K100" s="6"/>
      <c r="L100" s="6"/>
      <c r="M100" s="7"/>
      <c r="N100" s="7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4"/>
      <c r="I101" s="5"/>
      <c r="J101" s="2"/>
      <c r="K101" s="6"/>
      <c r="L101" s="6"/>
      <c r="M101" s="7"/>
      <c r="N101" s="7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4"/>
      <c r="I102" s="5"/>
      <c r="J102" s="2"/>
      <c r="K102" s="6"/>
      <c r="L102" s="6"/>
      <c r="M102" s="7"/>
      <c r="N102" s="7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4"/>
      <c r="I103" s="5"/>
      <c r="J103" s="2"/>
      <c r="K103" s="6"/>
      <c r="L103" s="6"/>
      <c r="M103" s="7"/>
      <c r="N103" s="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4"/>
      <c r="I104" s="5"/>
      <c r="J104" s="2"/>
      <c r="K104" s="6"/>
      <c r="L104" s="6"/>
      <c r="M104" s="7"/>
      <c r="N104" s="7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4"/>
      <c r="I105" s="5"/>
      <c r="J105" s="2"/>
      <c r="K105" s="6"/>
      <c r="L105" s="6"/>
      <c r="M105" s="7"/>
      <c r="N105" s="7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4"/>
      <c r="I106" s="5"/>
      <c r="J106" s="2"/>
      <c r="K106" s="6"/>
      <c r="L106" s="6"/>
      <c r="M106" s="7"/>
      <c r="N106" s="7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4"/>
      <c r="I107" s="5"/>
      <c r="J107" s="2"/>
      <c r="K107" s="6"/>
      <c r="L107" s="6"/>
      <c r="M107" s="7"/>
      <c r="N107" s="7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4"/>
      <c r="I108" s="5"/>
      <c r="J108" s="2"/>
      <c r="K108" s="6"/>
      <c r="L108" s="6"/>
      <c r="M108" s="7"/>
      <c r="N108" s="7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4"/>
      <c r="I109" s="5"/>
      <c r="J109" s="2"/>
      <c r="K109" s="6"/>
      <c r="L109" s="6"/>
      <c r="M109" s="7"/>
      <c r="N109" s="7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4"/>
      <c r="I110" s="5"/>
      <c r="J110" s="2"/>
      <c r="K110" s="6"/>
      <c r="L110" s="6"/>
      <c r="M110" s="7"/>
      <c r="N110" s="7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4"/>
      <c r="I111" s="5"/>
      <c r="J111" s="2"/>
      <c r="K111" s="6"/>
      <c r="L111" s="6"/>
      <c r="M111" s="7"/>
      <c r="N111" s="7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4"/>
      <c r="I112" s="5"/>
      <c r="J112" s="2"/>
      <c r="K112" s="6"/>
      <c r="L112" s="6"/>
      <c r="M112" s="7"/>
      <c r="N112" s="7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4"/>
      <c r="I113" s="5"/>
      <c r="J113" s="2"/>
      <c r="K113" s="6"/>
      <c r="L113" s="6"/>
      <c r="M113" s="7"/>
      <c r="N113" s="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4"/>
      <c r="I114" s="5"/>
      <c r="J114" s="2"/>
      <c r="K114" s="6"/>
      <c r="L114" s="6"/>
      <c r="M114" s="7"/>
      <c r="N114" s="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4"/>
      <c r="I115" s="5"/>
      <c r="J115" s="2"/>
      <c r="K115" s="6"/>
      <c r="L115" s="6"/>
      <c r="M115" s="7"/>
      <c r="N115" s="7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4"/>
      <c r="I116" s="5"/>
      <c r="J116" s="2"/>
      <c r="K116" s="6"/>
      <c r="L116" s="6"/>
      <c r="M116" s="7"/>
      <c r="N116" s="7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4"/>
      <c r="I117" s="5"/>
      <c r="J117" s="2"/>
      <c r="K117" s="6"/>
      <c r="L117" s="6"/>
      <c r="M117" s="7"/>
      <c r="N117" s="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4"/>
      <c r="I118" s="5"/>
      <c r="J118" s="2"/>
      <c r="K118" s="6"/>
      <c r="L118" s="6"/>
      <c r="M118" s="7"/>
      <c r="N118" s="7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4"/>
      <c r="I119" s="5"/>
      <c r="J119" s="2"/>
      <c r="K119" s="6"/>
      <c r="L119" s="6"/>
      <c r="M119" s="7"/>
      <c r="N119" s="7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4"/>
      <c r="I120" s="5"/>
      <c r="J120" s="2"/>
      <c r="K120" s="6"/>
      <c r="L120" s="6"/>
      <c r="M120" s="7"/>
      <c r="N120" s="7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4"/>
      <c r="I121" s="5"/>
      <c r="J121" s="2"/>
      <c r="K121" s="6"/>
      <c r="L121" s="6"/>
      <c r="M121" s="7"/>
      <c r="N121" s="7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4"/>
      <c r="I122" s="5"/>
      <c r="J122" s="2"/>
      <c r="K122" s="6"/>
      <c r="L122" s="6"/>
      <c r="M122" s="7"/>
      <c r="N122" s="7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4"/>
      <c r="I123" s="5"/>
      <c r="J123" s="2"/>
      <c r="K123" s="6"/>
      <c r="L123" s="6"/>
      <c r="M123" s="7"/>
      <c r="N123" s="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4"/>
      <c r="I124" s="5"/>
      <c r="J124" s="2"/>
      <c r="K124" s="6"/>
      <c r="L124" s="6"/>
      <c r="M124" s="7"/>
      <c r="N124" s="7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4"/>
      <c r="I125" s="5"/>
      <c r="J125" s="2"/>
      <c r="K125" s="6"/>
      <c r="L125" s="6"/>
      <c r="M125" s="7"/>
      <c r="N125" s="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4"/>
      <c r="I126" s="5"/>
      <c r="J126" s="2"/>
      <c r="K126" s="6"/>
      <c r="L126" s="6"/>
      <c r="M126" s="7"/>
      <c r="N126" s="7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4"/>
      <c r="I127" s="5"/>
      <c r="J127" s="2"/>
      <c r="K127" s="6"/>
      <c r="L127" s="6"/>
      <c r="M127" s="7"/>
      <c r="N127" s="7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4"/>
      <c r="I128" s="5"/>
      <c r="J128" s="2"/>
      <c r="K128" s="6"/>
      <c r="L128" s="6"/>
      <c r="M128" s="7"/>
      <c r="N128" s="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4"/>
      <c r="I129" s="5"/>
      <c r="J129" s="2"/>
      <c r="K129" s="6"/>
      <c r="L129" s="6"/>
      <c r="M129" s="7"/>
      <c r="N129" s="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4"/>
      <c r="I130" s="5"/>
      <c r="J130" s="2"/>
      <c r="K130" s="6"/>
      <c r="L130" s="6"/>
      <c r="M130" s="7"/>
      <c r="N130" s="7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4"/>
      <c r="I131" s="5"/>
      <c r="J131" s="2"/>
      <c r="K131" s="6"/>
      <c r="L131" s="6"/>
      <c r="M131" s="7"/>
      <c r="N131" s="7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4"/>
      <c r="I132" s="5"/>
      <c r="J132" s="2"/>
      <c r="K132" s="6"/>
      <c r="L132" s="6"/>
      <c r="M132" s="7"/>
      <c r="N132" s="7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4"/>
      <c r="I133" s="5"/>
      <c r="J133" s="2"/>
      <c r="K133" s="6"/>
      <c r="L133" s="6"/>
      <c r="M133" s="7"/>
      <c r="N133" s="7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4"/>
      <c r="I134" s="5"/>
      <c r="J134" s="2"/>
      <c r="K134" s="6"/>
      <c r="L134" s="6"/>
      <c r="M134" s="7"/>
      <c r="N134" s="7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4"/>
      <c r="I135" s="5"/>
      <c r="J135" s="2"/>
      <c r="K135" s="6"/>
      <c r="L135" s="6"/>
      <c r="M135" s="7"/>
      <c r="N135" s="7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4"/>
      <c r="I136" s="5"/>
      <c r="J136" s="2"/>
      <c r="K136" s="6"/>
      <c r="L136" s="6"/>
      <c r="M136" s="7"/>
      <c r="N136" s="7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4"/>
      <c r="I137" s="5"/>
      <c r="J137" s="2"/>
      <c r="K137" s="6"/>
      <c r="L137" s="6"/>
      <c r="M137" s="7"/>
      <c r="N137" s="7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4"/>
      <c r="I138" s="5"/>
      <c r="J138" s="2"/>
      <c r="K138" s="6"/>
      <c r="L138" s="6"/>
      <c r="M138" s="7"/>
      <c r="N138" s="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4"/>
      <c r="I139" s="5"/>
      <c r="J139" s="2"/>
      <c r="K139" s="6"/>
      <c r="L139" s="6"/>
      <c r="M139" s="7"/>
      <c r="N139" s="7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4"/>
      <c r="I140" s="5"/>
      <c r="J140" s="2"/>
      <c r="K140" s="6"/>
      <c r="L140" s="6"/>
      <c r="M140" s="7"/>
      <c r="N140" s="7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4"/>
      <c r="I141" s="5"/>
      <c r="J141" s="2"/>
      <c r="K141" s="6"/>
      <c r="L141" s="6"/>
      <c r="M141" s="7"/>
      <c r="N141" s="7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4"/>
      <c r="I142" s="5"/>
      <c r="J142" s="2"/>
      <c r="K142" s="6"/>
      <c r="L142" s="6"/>
      <c r="M142" s="7"/>
      <c r="N142" s="7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4"/>
      <c r="I143" s="5"/>
      <c r="J143" s="2"/>
      <c r="K143" s="6"/>
      <c r="L143" s="6"/>
      <c r="M143" s="7"/>
      <c r="N143" s="7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4"/>
      <c r="I144" s="5"/>
      <c r="J144" s="2"/>
      <c r="K144" s="6"/>
      <c r="L144" s="6"/>
      <c r="M144" s="7"/>
      <c r="N144" s="7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4"/>
      <c r="I145" s="5"/>
      <c r="J145" s="2"/>
      <c r="K145" s="6"/>
      <c r="L145" s="6"/>
      <c r="M145" s="7"/>
      <c r="N145" s="7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4"/>
      <c r="I146" s="5"/>
      <c r="J146" s="2"/>
      <c r="K146" s="6"/>
      <c r="L146" s="6"/>
      <c r="M146" s="7"/>
      <c r="N146" s="7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4"/>
      <c r="I147" s="5"/>
      <c r="J147" s="2"/>
      <c r="K147" s="6"/>
      <c r="L147" s="6"/>
      <c r="M147" s="7"/>
      <c r="N147" s="7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4"/>
      <c r="I148" s="5"/>
      <c r="J148" s="2"/>
      <c r="K148" s="6"/>
      <c r="L148" s="6"/>
      <c r="M148" s="7"/>
      <c r="N148" s="7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4"/>
      <c r="I149" s="5"/>
      <c r="J149" s="2"/>
      <c r="K149" s="6"/>
      <c r="L149" s="6"/>
      <c r="M149" s="7"/>
      <c r="N149" s="7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4"/>
      <c r="I150" s="5"/>
      <c r="J150" s="2"/>
      <c r="K150" s="6"/>
      <c r="L150" s="6"/>
      <c r="M150" s="7"/>
      <c r="N150" s="7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4"/>
      <c r="I151" s="5"/>
      <c r="J151" s="2"/>
      <c r="K151" s="6"/>
      <c r="L151" s="6"/>
      <c r="M151" s="7"/>
      <c r="N151" s="7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4"/>
      <c r="I152" s="5"/>
      <c r="J152" s="2"/>
      <c r="K152" s="6"/>
      <c r="L152" s="6"/>
      <c r="M152" s="7"/>
      <c r="N152" s="7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4"/>
      <c r="I153" s="5"/>
      <c r="J153" s="2"/>
      <c r="K153" s="6"/>
      <c r="L153" s="6"/>
      <c r="M153" s="7"/>
      <c r="N153" s="7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4"/>
      <c r="I154" s="5"/>
      <c r="J154" s="2"/>
      <c r="K154" s="6"/>
      <c r="L154" s="6"/>
      <c r="M154" s="7"/>
      <c r="N154" s="7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4"/>
      <c r="I155" s="5"/>
      <c r="J155" s="2"/>
      <c r="K155" s="6"/>
      <c r="L155" s="6"/>
      <c r="M155" s="7"/>
      <c r="N155" s="7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4"/>
      <c r="I156" s="5"/>
      <c r="J156" s="2"/>
      <c r="K156" s="6"/>
      <c r="L156" s="6"/>
      <c r="M156" s="7"/>
      <c r="N156" s="7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4"/>
      <c r="I157" s="5"/>
      <c r="J157" s="2"/>
      <c r="K157" s="6"/>
      <c r="L157" s="6"/>
      <c r="M157" s="7"/>
      <c r="N157" s="7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4"/>
      <c r="I158" s="5"/>
      <c r="J158" s="2"/>
      <c r="K158" s="6"/>
      <c r="L158" s="6"/>
      <c r="M158" s="7"/>
      <c r="N158" s="7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4"/>
      <c r="I159" s="5"/>
      <c r="J159" s="2"/>
      <c r="K159" s="6"/>
      <c r="L159" s="6"/>
      <c r="M159" s="7"/>
      <c r="N159" s="7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4"/>
      <c r="I160" s="5"/>
      <c r="J160" s="2"/>
      <c r="K160" s="6"/>
      <c r="L160" s="6"/>
      <c r="M160" s="7"/>
      <c r="N160" s="7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4"/>
      <c r="I161" s="5"/>
      <c r="J161" s="2"/>
      <c r="K161" s="6"/>
      <c r="L161" s="6"/>
      <c r="M161" s="7"/>
      <c r="N161" s="7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4"/>
      <c r="I162" s="5"/>
      <c r="J162" s="2"/>
      <c r="K162" s="6"/>
      <c r="L162" s="6"/>
      <c r="M162" s="7"/>
      <c r="N162" s="7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4"/>
      <c r="I163" s="5"/>
      <c r="J163" s="2"/>
      <c r="K163" s="6"/>
      <c r="L163" s="6"/>
      <c r="M163" s="7"/>
      <c r="N163" s="7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4"/>
      <c r="I164" s="5"/>
      <c r="J164" s="2"/>
      <c r="K164" s="6"/>
      <c r="L164" s="6"/>
      <c r="M164" s="7"/>
      <c r="N164" s="7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4"/>
      <c r="I165" s="5"/>
      <c r="J165" s="2"/>
      <c r="K165" s="6"/>
      <c r="L165" s="6"/>
      <c r="M165" s="7"/>
      <c r="N165" s="7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4"/>
      <c r="I166" s="5"/>
      <c r="J166" s="2"/>
      <c r="K166" s="6"/>
      <c r="L166" s="6"/>
      <c r="M166" s="7"/>
      <c r="N166" s="7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4"/>
      <c r="I167" s="5"/>
      <c r="J167" s="2"/>
      <c r="K167" s="6"/>
      <c r="L167" s="6"/>
      <c r="M167" s="7"/>
      <c r="N167" s="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4"/>
      <c r="I168" s="5"/>
      <c r="J168" s="2"/>
      <c r="K168" s="6"/>
      <c r="L168" s="6"/>
      <c r="M168" s="7"/>
      <c r="N168" s="7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4"/>
      <c r="I169" s="5"/>
      <c r="J169" s="2"/>
      <c r="K169" s="6"/>
      <c r="L169" s="6"/>
      <c r="M169" s="7"/>
      <c r="N169" s="7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4"/>
      <c r="I170" s="5"/>
      <c r="J170" s="2"/>
      <c r="K170" s="6"/>
      <c r="L170" s="6"/>
      <c r="M170" s="7"/>
      <c r="N170" s="7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4"/>
      <c r="I171" s="5"/>
      <c r="J171" s="2"/>
      <c r="K171" s="6"/>
      <c r="L171" s="6"/>
      <c r="M171" s="7"/>
      <c r="N171" s="7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4"/>
      <c r="I172" s="5"/>
      <c r="J172" s="2"/>
      <c r="K172" s="6"/>
      <c r="L172" s="6"/>
      <c r="M172" s="7"/>
      <c r="N172" s="7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4"/>
      <c r="I173" s="5"/>
      <c r="J173" s="2"/>
      <c r="K173" s="6"/>
      <c r="L173" s="6"/>
      <c r="M173" s="7"/>
      <c r="N173" s="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4"/>
      <c r="I174" s="5"/>
      <c r="J174" s="2"/>
      <c r="K174" s="6"/>
      <c r="L174" s="6"/>
      <c r="M174" s="7"/>
      <c r="N174" s="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4"/>
      <c r="I175" s="5"/>
      <c r="J175" s="2"/>
      <c r="K175" s="6"/>
      <c r="L175" s="6"/>
      <c r="M175" s="7"/>
      <c r="N175" s="7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4"/>
      <c r="I176" s="5"/>
      <c r="J176" s="2"/>
      <c r="K176" s="6"/>
      <c r="L176" s="6"/>
      <c r="M176" s="7"/>
      <c r="N176" s="7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4"/>
      <c r="I177" s="5"/>
      <c r="J177" s="2"/>
      <c r="K177" s="6"/>
      <c r="L177" s="6"/>
      <c r="M177" s="7"/>
      <c r="N177" s="7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4"/>
      <c r="I178" s="5"/>
      <c r="J178" s="2"/>
      <c r="K178" s="6"/>
      <c r="L178" s="6"/>
      <c r="M178" s="7"/>
      <c r="N178" s="7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4"/>
      <c r="I179" s="5"/>
      <c r="J179" s="2"/>
      <c r="K179" s="6"/>
      <c r="L179" s="6"/>
      <c r="M179" s="7"/>
      <c r="N179" s="7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4"/>
      <c r="I180" s="5"/>
      <c r="J180" s="2"/>
      <c r="K180" s="6"/>
      <c r="L180" s="6"/>
      <c r="M180" s="7"/>
      <c r="N180" s="7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4"/>
      <c r="I181" s="5"/>
      <c r="J181" s="2"/>
      <c r="K181" s="6"/>
      <c r="L181" s="6"/>
      <c r="M181" s="7"/>
      <c r="N181" s="7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4"/>
      <c r="I182" s="5"/>
      <c r="J182" s="2"/>
      <c r="K182" s="6"/>
      <c r="L182" s="6"/>
      <c r="M182" s="7"/>
      <c r="N182" s="7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4"/>
      <c r="I183" s="5"/>
      <c r="J183" s="2"/>
      <c r="K183" s="6"/>
      <c r="L183" s="6"/>
      <c r="M183" s="7"/>
      <c r="N183" s="7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4"/>
      <c r="I184" s="5"/>
      <c r="J184" s="2"/>
      <c r="K184" s="6"/>
      <c r="L184" s="6"/>
      <c r="M184" s="7"/>
      <c r="N184" s="7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4"/>
      <c r="I185" s="5"/>
      <c r="J185" s="2"/>
      <c r="K185" s="6"/>
      <c r="L185" s="6"/>
      <c r="M185" s="7"/>
      <c r="N185" s="7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4"/>
      <c r="I186" s="5"/>
      <c r="J186" s="2"/>
      <c r="K186" s="6"/>
      <c r="L186" s="6"/>
      <c r="M186" s="7"/>
      <c r="N186" s="7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4"/>
      <c r="I187" s="5"/>
      <c r="J187" s="2"/>
      <c r="K187" s="6"/>
      <c r="L187" s="6"/>
      <c r="M187" s="7"/>
      <c r="N187" s="7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4"/>
      <c r="I188" s="5"/>
      <c r="J188" s="2"/>
      <c r="K188" s="6"/>
      <c r="L188" s="6"/>
      <c r="M188" s="7"/>
      <c r="N188" s="7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4"/>
      <c r="I189" s="5"/>
      <c r="J189" s="2"/>
      <c r="K189" s="6"/>
      <c r="L189" s="6"/>
      <c r="M189" s="7"/>
      <c r="N189" s="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4"/>
      <c r="I190" s="5"/>
      <c r="J190" s="2"/>
      <c r="K190" s="6"/>
      <c r="L190" s="6"/>
      <c r="M190" s="7"/>
      <c r="N190" s="7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4"/>
      <c r="I191" s="5"/>
      <c r="J191" s="2"/>
      <c r="K191" s="6"/>
      <c r="L191" s="6"/>
      <c r="M191" s="7"/>
      <c r="N191" s="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4"/>
      <c r="I192" s="5"/>
      <c r="J192" s="2"/>
      <c r="K192" s="6"/>
      <c r="L192" s="6"/>
      <c r="M192" s="7"/>
      <c r="N192" s="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4"/>
      <c r="I193" s="5"/>
      <c r="J193" s="2"/>
      <c r="K193" s="6"/>
      <c r="L193" s="6"/>
      <c r="M193" s="7"/>
      <c r="N193" s="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4"/>
      <c r="I194" s="5"/>
      <c r="J194" s="2"/>
      <c r="K194" s="6"/>
      <c r="L194" s="6"/>
      <c r="M194" s="7"/>
      <c r="N194" s="7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4"/>
      <c r="I195" s="5"/>
      <c r="J195" s="2"/>
      <c r="K195" s="6"/>
      <c r="L195" s="6"/>
      <c r="M195" s="7"/>
      <c r="N195" s="7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4"/>
      <c r="I196" s="5"/>
      <c r="J196" s="2"/>
      <c r="K196" s="6"/>
      <c r="L196" s="6"/>
      <c r="M196" s="7"/>
      <c r="N196" s="7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4"/>
      <c r="I197" s="5"/>
      <c r="J197" s="2"/>
      <c r="K197" s="6"/>
      <c r="L197" s="6"/>
      <c r="M197" s="7"/>
      <c r="N197" s="7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4"/>
      <c r="I198" s="5"/>
      <c r="J198" s="2"/>
      <c r="K198" s="6"/>
      <c r="L198" s="6"/>
      <c r="M198" s="7"/>
      <c r="N198" s="7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4"/>
      <c r="I199" s="5"/>
      <c r="J199" s="2"/>
      <c r="K199" s="6"/>
      <c r="L199" s="6"/>
      <c r="M199" s="7"/>
      <c r="N199" s="7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4"/>
      <c r="I200" s="5"/>
      <c r="J200" s="2"/>
      <c r="K200" s="6"/>
      <c r="L200" s="6"/>
      <c r="M200" s="7"/>
      <c r="N200" s="7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4"/>
      <c r="I201" s="5"/>
      <c r="J201" s="2"/>
      <c r="K201" s="6"/>
      <c r="L201" s="6"/>
      <c r="M201" s="7"/>
      <c r="N201" s="7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4"/>
      <c r="I202" s="5"/>
      <c r="J202" s="2"/>
      <c r="K202" s="6"/>
      <c r="L202" s="6"/>
      <c r="M202" s="7"/>
      <c r="N202" s="7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4"/>
      <c r="I203" s="5"/>
      <c r="J203" s="2"/>
      <c r="K203" s="6"/>
      <c r="L203" s="6"/>
      <c r="M203" s="7"/>
      <c r="N203" s="7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4"/>
      <c r="I204" s="5"/>
      <c r="J204" s="2"/>
      <c r="K204" s="6"/>
      <c r="L204" s="6"/>
      <c r="M204" s="7"/>
      <c r="N204" s="7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4"/>
      <c r="I205" s="5"/>
      <c r="J205" s="2"/>
      <c r="K205" s="6"/>
      <c r="L205" s="6"/>
      <c r="M205" s="7"/>
      <c r="N205" s="7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4"/>
      <c r="I206" s="5"/>
      <c r="J206" s="2"/>
      <c r="K206" s="6"/>
      <c r="L206" s="6"/>
      <c r="M206" s="7"/>
      <c r="N206" s="7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4"/>
      <c r="I207" s="5"/>
      <c r="J207" s="2"/>
      <c r="K207" s="6"/>
      <c r="L207" s="6"/>
      <c r="M207" s="7"/>
      <c r="N207" s="7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4"/>
      <c r="I208" s="5"/>
      <c r="J208" s="2"/>
      <c r="K208" s="6"/>
      <c r="L208" s="6"/>
      <c r="M208" s="7"/>
      <c r="N208" s="7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4"/>
      <c r="I209" s="5"/>
      <c r="J209" s="2"/>
      <c r="K209" s="6"/>
      <c r="L209" s="6"/>
      <c r="M209" s="7"/>
      <c r="N209" s="7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4"/>
      <c r="I210" s="5"/>
      <c r="J210" s="2"/>
      <c r="K210" s="6"/>
      <c r="L210" s="6"/>
      <c r="M210" s="7"/>
      <c r="N210" s="7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4"/>
      <c r="I211" s="5"/>
      <c r="J211" s="2"/>
      <c r="K211" s="6"/>
      <c r="L211" s="6"/>
      <c r="M211" s="7"/>
      <c r="N211" s="7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4"/>
      <c r="I212" s="5"/>
      <c r="J212" s="2"/>
      <c r="K212" s="6"/>
      <c r="L212" s="6"/>
      <c r="M212" s="7"/>
      <c r="N212" s="7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4"/>
      <c r="I213" s="5"/>
      <c r="J213" s="2"/>
      <c r="K213" s="6"/>
      <c r="L213" s="6"/>
      <c r="M213" s="7"/>
      <c r="N213" s="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4"/>
      <c r="I214" s="5"/>
      <c r="J214" s="2"/>
      <c r="K214" s="6"/>
      <c r="L214" s="6"/>
      <c r="M214" s="7"/>
      <c r="N214" s="7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4"/>
      <c r="I215" s="5"/>
      <c r="J215" s="2"/>
      <c r="K215" s="6"/>
      <c r="L215" s="6"/>
      <c r="M215" s="7"/>
      <c r="N215" s="7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4"/>
      <c r="I216" s="5"/>
      <c r="J216" s="2"/>
      <c r="K216" s="6"/>
      <c r="L216" s="6"/>
      <c r="M216" s="7"/>
      <c r="N216" s="7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4"/>
      <c r="I217" s="5"/>
      <c r="J217" s="2"/>
      <c r="K217" s="6"/>
      <c r="L217" s="6"/>
      <c r="M217" s="7"/>
      <c r="N217" s="7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4"/>
      <c r="I218" s="5"/>
      <c r="J218" s="2"/>
      <c r="K218" s="6"/>
      <c r="L218" s="6"/>
      <c r="M218" s="7"/>
      <c r="N218" s="7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4"/>
      <c r="I219" s="5"/>
      <c r="J219" s="2"/>
      <c r="K219" s="6"/>
      <c r="L219" s="6"/>
      <c r="M219" s="7"/>
      <c r="N219" s="7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4"/>
      <c r="I220" s="5"/>
      <c r="J220" s="2"/>
      <c r="K220" s="6"/>
      <c r="L220" s="6"/>
      <c r="M220" s="7"/>
      <c r="N220" s="7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4"/>
      <c r="I221" s="5"/>
      <c r="J221" s="2"/>
      <c r="K221" s="6"/>
      <c r="L221" s="6"/>
      <c r="M221" s="7"/>
      <c r="N221" s="7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4"/>
      <c r="I222" s="5"/>
      <c r="J222" s="2"/>
      <c r="K222" s="6"/>
      <c r="L222" s="6"/>
      <c r="M222" s="7"/>
      <c r="N222" s="7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4"/>
      <c r="I223" s="5"/>
      <c r="J223" s="2"/>
      <c r="K223" s="6"/>
      <c r="L223" s="6"/>
      <c r="M223" s="7"/>
      <c r="N223" s="7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4"/>
      <c r="I224" s="5"/>
      <c r="J224" s="2"/>
      <c r="K224" s="6"/>
      <c r="L224" s="6"/>
      <c r="M224" s="7"/>
      <c r="N224" s="7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4"/>
      <c r="I225" s="5"/>
      <c r="J225" s="2"/>
      <c r="K225" s="6"/>
      <c r="L225" s="6"/>
      <c r="M225" s="7"/>
      <c r="N225" s="7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4"/>
      <c r="I226" s="5"/>
      <c r="J226" s="2"/>
      <c r="K226" s="6"/>
      <c r="L226" s="6"/>
      <c r="M226" s="7"/>
      <c r="N226" s="7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4"/>
      <c r="I227" s="5"/>
      <c r="J227" s="2"/>
      <c r="K227" s="6"/>
      <c r="L227" s="6"/>
      <c r="M227" s="7"/>
      <c r="N227" s="7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4"/>
      <c r="I228" s="5"/>
      <c r="J228" s="2"/>
      <c r="K228" s="6"/>
      <c r="L228" s="6"/>
      <c r="M228" s="7"/>
      <c r="N228" s="7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4"/>
      <c r="I229" s="5"/>
      <c r="J229" s="2"/>
      <c r="K229" s="6"/>
      <c r="L229" s="6"/>
      <c r="M229" s="7"/>
      <c r="N229" s="7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4"/>
      <c r="I230" s="5"/>
      <c r="J230" s="2"/>
      <c r="K230" s="6"/>
      <c r="L230" s="6"/>
      <c r="M230" s="7"/>
      <c r="N230" s="7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4"/>
      <c r="I231" s="5"/>
      <c r="J231" s="2"/>
      <c r="K231" s="6"/>
      <c r="L231" s="6"/>
      <c r="M231" s="7"/>
      <c r="N231" s="7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4"/>
      <c r="I232" s="5"/>
      <c r="J232" s="2"/>
      <c r="K232" s="6"/>
      <c r="L232" s="6"/>
      <c r="M232" s="7"/>
      <c r="N232" s="7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4"/>
      <c r="I233" s="5"/>
      <c r="J233" s="2"/>
      <c r="K233" s="6"/>
      <c r="L233" s="6"/>
      <c r="M233" s="7"/>
      <c r="N233" s="7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4"/>
      <c r="I234" s="5"/>
      <c r="J234" s="2"/>
      <c r="K234" s="6"/>
      <c r="L234" s="6"/>
      <c r="M234" s="7"/>
      <c r="N234" s="7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4"/>
      <c r="I235" s="5"/>
      <c r="J235" s="2"/>
      <c r="K235" s="6"/>
      <c r="L235" s="6"/>
      <c r="M235" s="7"/>
      <c r="N235" s="7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4"/>
      <c r="I236" s="5"/>
      <c r="J236" s="2"/>
      <c r="K236" s="6"/>
      <c r="L236" s="6"/>
      <c r="M236" s="7"/>
      <c r="N236" s="7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4"/>
      <c r="I237" s="5"/>
      <c r="J237" s="2"/>
      <c r="K237" s="6"/>
      <c r="L237" s="6"/>
      <c r="M237" s="7"/>
      <c r="N237" s="7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4"/>
      <c r="I238" s="5"/>
      <c r="J238" s="2"/>
      <c r="K238" s="6"/>
      <c r="L238" s="6"/>
      <c r="M238" s="7"/>
      <c r="N238" s="7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4"/>
      <c r="I239" s="5"/>
      <c r="J239" s="2"/>
      <c r="K239" s="6"/>
      <c r="L239" s="6"/>
      <c r="M239" s="7"/>
      <c r="N239" s="7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4"/>
      <c r="I240" s="5"/>
      <c r="J240" s="2"/>
      <c r="K240" s="6"/>
      <c r="L240" s="6"/>
      <c r="M240" s="7"/>
      <c r="N240" s="7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4"/>
      <c r="I241" s="5"/>
      <c r="J241" s="2"/>
      <c r="K241" s="6"/>
      <c r="L241" s="6"/>
      <c r="M241" s="7"/>
      <c r="N241" s="7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4"/>
      <c r="I242" s="5"/>
      <c r="J242" s="2"/>
      <c r="K242" s="6"/>
      <c r="L242" s="6"/>
      <c r="M242" s="7"/>
      <c r="N242" s="7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4"/>
      <c r="I243" s="5"/>
      <c r="J243" s="2"/>
      <c r="K243" s="6"/>
      <c r="L243" s="6"/>
      <c r="M243" s="7"/>
      <c r="N243" s="7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4"/>
      <c r="I244" s="5"/>
      <c r="J244" s="2"/>
      <c r="K244" s="6"/>
      <c r="L244" s="6"/>
      <c r="M244" s="7"/>
      <c r="N244" s="7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4"/>
      <c r="I245" s="5"/>
      <c r="J245" s="2"/>
      <c r="K245" s="6"/>
      <c r="L245" s="6"/>
      <c r="M245" s="7"/>
      <c r="N245" s="7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4"/>
      <c r="I246" s="5"/>
      <c r="J246" s="2"/>
      <c r="K246" s="6"/>
      <c r="L246" s="6"/>
      <c r="M246" s="7"/>
      <c r="N246" s="7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4"/>
      <c r="I247" s="5"/>
      <c r="J247" s="2"/>
      <c r="K247" s="6"/>
      <c r="L247" s="6"/>
      <c r="M247" s="7"/>
      <c r="N247" s="7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4"/>
      <c r="I248" s="5"/>
      <c r="J248" s="2"/>
      <c r="K248" s="6"/>
      <c r="L248" s="6"/>
      <c r="M248" s="7"/>
      <c r="N248" s="7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4"/>
      <c r="I249" s="5"/>
      <c r="J249" s="2"/>
      <c r="K249" s="6"/>
      <c r="L249" s="6"/>
      <c r="M249" s="7"/>
      <c r="N249" s="7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4"/>
      <c r="I250" s="5"/>
      <c r="J250" s="2"/>
      <c r="K250" s="6"/>
      <c r="L250" s="6"/>
      <c r="M250" s="7"/>
      <c r="N250" s="7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4"/>
      <c r="I251" s="5"/>
      <c r="J251" s="2"/>
      <c r="K251" s="6"/>
      <c r="L251" s="6"/>
      <c r="M251" s="7"/>
      <c r="N251" s="7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4"/>
      <c r="I252" s="5"/>
      <c r="J252" s="2"/>
      <c r="K252" s="6"/>
      <c r="L252" s="6"/>
      <c r="M252" s="7"/>
      <c r="N252" s="7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4"/>
      <c r="I253" s="5"/>
      <c r="J253" s="2"/>
      <c r="K253" s="6"/>
      <c r="L253" s="6"/>
      <c r="M253" s="7"/>
      <c r="N253" s="7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4"/>
      <c r="I254" s="5"/>
      <c r="J254" s="2"/>
      <c r="K254" s="6"/>
      <c r="L254" s="6"/>
      <c r="M254" s="7"/>
      <c r="N254" s="7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4"/>
      <c r="I255" s="5"/>
      <c r="J255" s="2"/>
      <c r="K255" s="6"/>
      <c r="L255" s="6"/>
      <c r="M255" s="7"/>
      <c r="N255" s="7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4"/>
      <c r="I256" s="5"/>
      <c r="J256" s="2"/>
      <c r="K256" s="6"/>
      <c r="L256" s="6"/>
      <c r="M256" s="7"/>
      <c r="N256" s="7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4"/>
      <c r="I257" s="5"/>
      <c r="J257" s="2"/>
      <c r="K257" s="6"/>
      <c r="L257" s="6"/>
      <c r="M257" s="7"/>
      <c r="N257" s="7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4"/>
      <c r="I258" s="5"/>
      <c r="J258" s="2"/>
      <c r="K258" s="6"/>
      <c r="L258" s="6"/>
      <c r="M258" s="7"/>
      <c r="N258" s="7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4"/>
      <c r="I259" s="5"/>
      <c r="J259" s="2"/>
      <c r="K259" s="6"/>
      <c r="L259" s="6"/>
      <c r="M259" s="7"/>
      <c r="N259" s="7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4"/>
      <c r="I260" s="5"/>
      <c r="J260" s="2"/>
      <c r="K260" s="6"/>
      <c r="L260" s="6"/>
      <c r="M260" s="7"/>
      <c r="N260" s="7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4"/>
      <c r="I261" s="5"/>
      <c r="J261" s="2"/>
      <c r="K261" s="6"/>
      <c r="L261" s="6"/>
      <c r="M261" s="7"/>
      <c r="N261" s="7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4"/>
      <c r="I262" s="5"/>
      <c r="J262" s="2"/>
      <c r="K262" s="6"/>
      <c r="L262" s="6"/>
      <c r="M262" s="7"/>
      <c r="N262" s="7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4"/>
      <c r="I263" s="5"/>
      <c r="J263" s="2"/>
      <c r="K263" s="6"/>
      <c r="L263" s="6"/>
      <c r="M263" s="7"/>
      <c r="N263" s="7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4"/>
      <c r="I264" s="5"/>
      <c r="J264" s="2"/>
      <c r="K264" s="6"/>
      <c r="L264" s="6"/>
      <c r="M264" s="7"/>
      <c r="N264" s="7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4"/>
      <c r="I265" s="5"/>
      <c r="J265" s="2"/>
      <c r="K265" s="6"/>
      <c r="L265" s="6"/>
      <c r="M265" s="7"/>
      <c r="N265" s="7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4"/>
      <c r="I266" s="5"/>
      <c r="J266" s="2"/>
      <c r="K266" s="6"/>
      <c r="L266" s="6"/>
      <c r="M266" s="7"/>
      <c r="N266" s="7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4"/>
      <c r="I267" s="5"/>
      <c r="J267" s="2"/>
      <c r="K267" s="6"/>
      <c r="L267" s="6"/>
      <c r="M267" s="7"/>
      <c r="N267" s="7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4"/>
      <c r="I268" s="5"/>
      <c r="J268" s="2"/>
      <c r="K268" s="6"/>
      <c r="L268" s="6"/>
      <c r="M268" s="7"/>
      <c r="N268" s="7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4"/>
      <c r="I269" s="5"/>
      <c r="J269" s="2"/>
      <c r="K269" s="6"/>
      <c r="L269" s="6"/>
      <c r="M269" s="7"/>
      <c r="N269" s="7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4"/>
      <c r="I270" s="5"/>
      <c r="J270" s="2"/>
      <c r="K270" s="6"/>
      <c r="L270" s="6"/>
      <c r="M270" s="7"/>
      <c r="N270" s="7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4"/>
      <c r="I271" s="5"/>
      <c r="J271" s="2"/>
      <c r="K271" s="6"/>
      <c r="L271" s="6"/>
      <c r="M271" s="7"/>
      <c r="N271" s="7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4"/>
      <c r="I272" s="5"/>
      <c r="J272" s="2"/>
      <c r="K272" s="6"/>
      <c r="L272" s="6"/>
      <c r="M272" s="7"/>
      <c r="N272" s="7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4"/>
      <c r="I273" s="5"/>
      <c r="J273" s="2"/>
      <c r="K273" s="6"/>
      <c r="L273" s="6"/>
      <c r="M273" s="7"/>
      <c r="N273" s="7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4"/>
      <c r="I274" s="5"/>
      <c r="J274" s="2"/>
      <c r="K274" s="6"/>
      <c r="L274" s="6"/>
      <c r="M274" s="7"/>
      <c r="N274" s="7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4"/>
      <c r="I275" s="5"/>
      <c r="J275" s="2"/>
      <c r="K275" s="6"/>
      <c r="L275" s="6"/>
      <c r="M275" s="7"/>
      <c r="N275" s="7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4"/>
      <c r="I276" s="5"/>
      <c r="J276" s="2"/>
      <c r="K276" s="6"/>
      <c r="L276" s="6"/>
      <c r="M276" s="7"/>
      <c r="N276" s="7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4"/>
      <c r="I277" s="5"/>
      <c r="J277" s="2"/>
      <c r="K277" s="6"/>
      <c r="L277" s="6"/>
      <c r="M277" s="7"/>
      <c r="N277" s="7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4"/>
      <c r="I278" s="5"/>
      <c r="J278" s="2"/>
      <c r="K278" s="6"/>
      <c r="L278" s="6"/>
      <c r="M278" s="7"/>
      <c r="N278" s="7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4"/>
      <c r="I279" s="5"/>
      <c r="J279" s="2"/>
      <c r="K279" s="6"/>
      <c r="L279" s="6"/>
      <c r="M279" s="7"/>
      <c r="N279" s="7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4"/>
      <c r="I280" s="5"/>
      <c r="J280" s="2"/>
      <c r="K280" s="6"/>
      <c r="L280" s="6"/>
      <c r="M280" s="7"/>
      <c r="N280" s="7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4"/>
      <c r="I281" s="5"/>
      <c r="J281" s="2"/>
      <c r="K281" s="6"/>
      <c r="L281" s="6"/>
      <c r="M281" s="7"/>
      <c r="N281" s="7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4"/>
      <c r="I282" s="5"/>
      <c r="J282" s="2"/>
      <c r="K282" s="6"/>
      <c r="L282" s="6"/>
      <c r="M282" s="7"/>
      <c r="N282" s="7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4"/>
      <c r="I283" s="5"/>
      <c r="J283" s="2"/>
      <c r="K283" s="6"/>
      <c r="L283" s="6"/>
      <c r="M283" s="7"/>
      <c r="N283" s="7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4"/>
      <c r="I284" s="5"/>
      <c r="J284" s="2"/>
      <c r="K284" s="6"/>
      <c r="L284" s="6"/>
      <c r="M284" s="7"/>
      <c r="N284" s="7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4"/>
      <c r="I285" s="5"/>
      <c r="J285" s="2"/>
      <c r="K285" s="6"/>
      <c r="L285" s="6"/>
      <c r="M285" s="7"/>
      <c r="N285" s="7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4"/>
      <c r="I286" s="5"/>
      <c r="J286" s="2"/>
      <c r="K286" s="6"/>
      <c r="L286" s="6"/>
      <c r="M286" s="7"/>
      <c r="N286" s="7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4"/>
      <c r="I287" s="5"/>
      <c r="J287" s="2"/>
      <c r="K287" s="6"/>
      <c r="L287" s="6"/>
      <c r="M287" s="7"/>
      <c r="N287" s="7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4"/>
      <c r="I288" s="5"/>
      <c r="J288" s="2"/>
      <c r="K288" s="6"/>
      <c r="L288" s="6"/>
      <c r="M288" s="7"/>
      <c r="N288" s="7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4"/>
      <c r="I289" s="5"/>
      <c r="J289" s="2"/>
      <c r="K289" s="6"/>
      <c r="L289" s="6"/>
      <c r="M289" s="7"/>
      <c r="N289" s="7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4"/>
      <c r="I290" s="5"/>
      <c r="J290" s="2"/>
      <c r="K290" s="6"/>
      <c r="L290" s="6"/>
      <c r="M290" s="7"/>
      <c r="N290" s="7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4"/>
      <c r="I291" s="5"/>
      <c r="J291" s="2"/>
      <c r="K291" s="6"/>
      <c r="L291" s="6"/>
      <c r="M291" s="7"/>
      <c r="N291" s="7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4"/>
      <c r="I292" s="5"/>
      <c r="J292" s="2"/>
      <c r="K292" s="6"/>
      <c r="L292" s="6"/>
      <c r="M292" s="7"/>
      <c r="N292" s="7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4"/>
      <c r="I293" s="5"/>
      <c r="J293" s="2"/>
      <c r="K293" s="6"/>
      <c r="L293" s="6"/>
      <c r="M293" s="7"/>
      <c r="N293" s="7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4"/>
      <c r="I294" s="5"/>
      <c r="J294" s="2"/>
      <c r="K294" s="6"/>
      <c r="L294" s="6"/>
      <c r="M294" s="7"/>
      <c r="N294" s="7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4"/>
      <c r="I295" s="5"/>
      <c r="J295" s="2"/>
      <c r="K295" s="6"/>
      <c r="L295" s="6"/>
      <c r="M295" s="7"/>
      <c r="N295" s="7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4"/>
      <c r="I296" s="5"/>
      <c r="J296" s="2"/>
      <c r="K296" s="6"/>
      <c r="L296" s="6"/>
      <c r="M296" s="7"/>
      <c r="N296" s="7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4"/>
      <c r="I297" s="5"/>
      <c r="J297" s="2"/>
      <c r="K297" s="6"/>
      <c r="L297" s="6"/>
      <c r="M297" s="7"/>
      <c r="N297" s="7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4"/>
      <c r="I298" s="5"/>
      <c r="J298" s="2"/>
      <c r="K298" s="6"/>
      <c r="L298" s="6"/>
      <c r="M298" s="7"/>
      <c r="N298" s="7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4"/>
      <c r="I299" s="5"/>
      <c r="J299" s="2"/>
      <c r="K299" s="6"/>
      <c r="L299" s="6"/>
      <c r="M299" s="7"/>
      <c r="N299" s="7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4"/>
      <c r="I300" s="5"/>
      <c r="J300" s="2"/>
      <c r="K300" s="6"/>
      <c r="L300" s="6"/>
      <c r="M300" s="7"/>
      <c r="N300" s="7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4"/>
      <c r="I301" s="5"/>
      <c r="J301" s="2"/>
      <c r="K301" s="6"/>
      <c r="L301" s="6"/>
      <c r="M301" s="7"/>
      <c r="N301" s="7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4"/>
      <c r="I302" s="5"/>
      <c r="J302" s="2"/>
      <c r="K302" s="6"/>
      <c r="L302" s="6"/>
      <c r="M302" s="7"/>
      <c r="N302" s="7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4"/>
      <c r="I303" s="5"/>
      <c r="J303" s="2"/>
      <c r="K303" s="6"/>
      <c r="L303" s="6"/>
      <c r="M303" s="7"/>
      <c r="N303" s="7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4"/>
      <c r="I304" s="5"/>
      <c r="J304" s="2"/>
      <c r="K304" s="6"/>
      <c r="L304" s="6"/>
      <c r="M304" s="7"/>
      <c r="N304" s="7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4"/>
      <c r="I305" s="5"/>
      <c r="J305" s="2"/>
      <c r="K305" s="6"/>
      <c r="L305" s="6"/>
      <c r="M305" s="7"/>
      <c r="N305" s="7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4"/>
      <c r="I306" s="5"/>
      <c r="J306" s="2"/>
      <c r="K306" s="6"/>
      <c r="L306" s="6"/>
      <c r="M306" s="7"/>
      <c r="N306" s="7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4"/>
      <c r="I307" s="5"/>
      <c r="J307" s="2"/>
      <c r="K307" s="6"/>
      <c r="L307" s="6"/>
      <c r="M307" s="7"/>
      <c r="N307" s="7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4"/>
      <c r="I308" s="5"/>
      <c r="J308" s="2"/>
      <c r="K308" s="6"/>
      <c r="L308" s="6"/>
      <c r="M308" s="7"/>
      <c r="N308" s="7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4"/>
      <c r="I309" s="5"/>
      <c r="J309" s="2"/>
      <c r="K309" s="6"/>
      <c r="L309" s="6"/>
      <c r="M309" s="7"/>
      <c r="N309" s="7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4"/>
      <c r="I310" s="5"/>
      <c r="J310" s="2"/>
      <c r="K310" s="6"/>
      <c r="L310" s="6"/>
      <c r="M310" s="7"/>
      <c r="N310" s="7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4"/>
      <c r="I311" s="5"/>
      <c r="J311" s="2"/>
      <c r="K311" s="6"/>
      <c r="L311" s="6"/>
      <c r="M311" s="7"/>
      <c r="N311" s="7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4"/>
      <c r="I312" s="5"/>
      <c r="J312" s="2"/>
      <c r="K312" s="6"/>
      <c r="L312" s="6"/>
      <c r="M312" s="7"/>
      <c r="N312" s="7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4"/>
      <c r="I313" s="5"/>
      <c r="J313" s="2"/>
      <c r="K313" s="6"/>
      <c r="L313" s="6"/>
      <c r="M313" s="7"/>
      <c r="N313" s="7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4"/>
      <c r="I314" s="5"/>
      <c r="J314" s="2"/>
      <c r="K314" s="6"/>
      <c r="L314" s="6"/>
      <c r="M314" s="7"/>
      <c r="N314" s="7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4"/>
      <c r="I315" s="5"/>
      <c r="J315" s="2"/>
      <c r="K315" s="6"/>
      <c r="L315" s="6"/>
      <c r="M315" s="7"/>
      <c r="N315" s="7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4"/>
      <c r="I316" s="5"/>
      <c r="J316" s="2"/>
      <c r="K316" s="6"/>
      <c r="L316" s="6"/>
      <c r="M316" s="7"/>
      <c r="N316" s="7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4"/>
      <c r="I317" s="5"/>
      <c r="J317" s="2"/>
      <c r="K317" s="6"/>
      <c r="L317" s="6"/>
      <c r="M317" s="7"/>
      <c r="N317" s="7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4"/>
      <c r="I318" s="5"/>
      <c r="J318" s="2"/>
      <c r="K318" s="6"/>
      <c r="L318" s="6"/>
      <c r="M318" s="7"/>
      <c r="N318" s="7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4"/>
      <c r="I319" s="5"/>
      <c r="J319" s="2"/>
      <c r="K319" s="6"/>
      <c r="L319" s="6"/>
      <c r="M319" s="7"/>
      <c r="N319" s="7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4"/>
      <c r="I320" s="5"/>
      <c r="J320" s="2"/>
      <c r="K320" s="6"/>
      <c r="L320" s="6"/>
      <c r="M320" s="7"/>
      <c r="N320" s="7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4"/>
      <c r="I321" s="5"/>
      <c r="J321" s="2"/>
      <c r="K321" s="6"/>
      <c r="L321" s="6"/>
      <c r="M321" s="7"/>
      <c r="N321" s="7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4"/>
      <c r="I322" s="5"/>
      <c r="J322" s="2"/>
      <c r="K322" s="6"/>
      <c r="L322" s="6"/>
      <c r="M322" s="7"/>
      <c r="N322" s="7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4"/>
      <c r="I323" s="5"/>
      <c r="J323" s="2"/>
      <c r="K323" s="6"/>
      <c r="L323" s="6"/>
      <c r="M323" s="7"/>
      <c r="N323" s="7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4"/>
      <c r="I324" s="5"/>
      <c r="J324" s="2"/>
      <c r="K324" s="6"/>
      <c r="L324" s="6"/>
      <c r="M324" s="7"/>
      <c r="N324" s="7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4"/>
      <c r="I325" s="5"/>
      <c r="J325" s="2"/>
      <c r="K325" s="6"/>
      <c r="L325" s="6"/>
      <c r="M325" s="7"/>
      <c r="N325" s="7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4"/>
      <c r="I326" s="5"/>
      <c r="J326" s="2"/>
      <c r="K326" s="6"/>
      <c r="L326" s="6"/>
      <c r="M326" s="7"/>
      <c r="N326" s="7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4"/>
      <c r="I327" s="5"/>
      <c r="J327" s="2"/>
      <c r="K327" s="6"/>
      <c r="L327" s="6"/>
      <c r="M327" s="7"/>
      <c r="N327" s="7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4"/>
      <c r="I328" s="5"/>
      <c r="J328" s="2"/>
      <c r="K328" s="6"/>
      <c r="L328" s="6"/>
      <c r="M328" s="7"/>
      <c r="N328" s="7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4"/>
      <c r="I329" s="5"/>
      <c r="J329" s="2"/>
      <c r="K329" s="6"/>
      <c r="L329" s="6"/>
      <c r="M329" s="7"/>
      <c r="N329" s="7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4"/>
      <c r="I330" s="5"/>
      <c r="J330" s="2"/>
      <c r="K330" s="6"/>
      <c r="L330" s="6"/>
      <c r="M330" s="7"/>
      <c r="N330" s="7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4"/>
      <c r="I331" s="5"/>
      <c r="J331" s="2"/>
      <c r="K331" s="6"/>
      <c r="L331" s="6"/>
      <c r="M331" s="7"/>
      <c r="N331" s="7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4"/>
      <c r="I332" s="5"/>
      <c r="J332" s="2"/>
      <c r="K332" s="6"/>
      <c r="L332" s="6"/>
      <c r="M332" s="7"/>
      <c r="N332" s="7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4"/>
      <c r="I333" s="5"/>
      <c r="J333" s="2"/>
      <c r="K333" s="6"/>
      <c r="L333" s="6"/>
      <c r="M333" s="7"/>
      <c r="N333" s="7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4"/>
      <c r="I334" s="5"/>
      <c r="J334" s="2"/>
      <c r="K334" s="6"/>
      <c r="L334" s="6"/>
      <c r="M334" s="7"/>
      <c r="N334" s="7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4"/>
      <c r="I335" s="5"/>
      <c r="J335" s="2"/>
      <c r="K335" s="6"/>
      <c r="L335" s="6"/>
      <c r="M335" s="7"/>
      <c r="N335" s="7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4"/>
      <c r="I336" s="5"/>
      <c r="J336" s="2"/>
      <c r="K336" s="6"/>
      <c r="L336" s="6"/>
      <c r="M336" s="7"/>
      <c r="N336" s="7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4"/>
      <c r="I337" s="5"/>
      <c r="J337" s="2"/>
      <c r="K337" s="6"/>
      <c r="L337" s="6"/>
      <c r="M337" s="7"/>
      <c r="N337" s="7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4"/>
      <c r="I338" s="5"/>
      <c r="J338" s="2"/>
      <c r="K338" s="6"/>
      <c r="L338" s="6"/>
      <c r="M338" s="7"/>
      <c r="N338" s="7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4"/>
      <c r="I339" s="5"/>
      <c r="J339" s="2"/>
      <c r="K339" s="6"/>
      <c r="L339" s="6"/>
      <c r="M339" s="7"/>
      <c r="N339" s="7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4"/>
      <c r="I340" s="5"/>
      <c r="J340" s="2"/>
      <c r="K340" s="6"/>
      <c r="L340" s="6"/>
      <c r="M340" s="7"/>
      <c r="N340" s="7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4"/>
      <c r="I341" s="5"/>
      <c r="J341" s="2"/>
      <c r="K341" s="6"/>
      <c r="L341" s="6"/>
      <c r="M341" s="7"/>
      <c r="N341" s="7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4"/>
      <c r="I342" s="5"/>
      <c r="J342" s="2"/>
      <c r="K342" s="6"/>
      <c r="L342" s="6"/>
      <c r="M342" s="7"/>
      <c r="N342" s="7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4"/>
      <c r="I343" s="5"/>
      <c r="J343" s="2"/>
      <c r="K343" s="6"/>
      <c r="L343" s="6"/>
      <c r="M343" s="7"/>
      <c r="N343" s="7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4"/>
      <c r="I344" s="5"/>
      <c r="J344" s="2"/>
      <c r="K344" s="6"/>
      <c r="L344" s="6"/>
      <c r="M344" s="7"/>
      <c r="N344" s="7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4"/>
      <c r="I345" s="5"/>
      <c r="J345" s="2"/>
      <c r="K345" s="6"/>
      <c r="L345" s="6"/>
      <c r="M345" s="7"/>
      <c r="N345" s="7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4"/>
      <c r="I346" s="5"/>
      <c r="J346" s="2"/>
      <c r="K346" s="6"/>
      <c r="L346" s="6"/>
      <c r="M346" s="7"/>
      <c r="N346" s="7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4"/>
      <c r="I347" s="5"/>
      <c r="J347" s="2"/>
      <c r="K347" s="6"/>
      <c r="L347" s="6"/>
      <c r="M347" s="7"/>
      <c r="N347" s="7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4"/>
      <c r="I348" s="5"/>
      <c r="J348" s="2"/>
      <c r="K348" s="6"/>
      <c r="L348" s="6"/>
      <c r="M348" s="7"/>
      <c r="N348" s="7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4"/>
      <c r="I349" s="5"/>
      <c r="J349" s="2"/>
      <c r="K349" s="6"/>
      <c r="L349" s="6"/>
      <c r="M349" s="7"/>
      <c r="N349" s="7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4"/>
      <c r="I350" s="5"/>
      <c r="J350" s="2"/>
      <c r="K350" s="6"/>
      <c r="L350" s="6"/>
      <c r="M350" s="7"/>
      <c r="N350" s="7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4"/>
      <c r="I351" s="5"/>
      <c r="J351" s="2"/>
      <c r="K351" s="6"/>
      <c r="L351" s="6"/>
      <c r="M351" s="7"/>
      <c r="N351" s="7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4"/>
      <c r="I352" s="5"/>
      <c r="J352" s="2"/>
      <c r="K352" s="6"/>
      <c r="L352" s="6"/>
      <c r="M352" s="7"/>
      <c r="N352" s="7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4"/>
      <c r="I353" s="5"/>
      <c r="J353" s="2"/>
      <c r="K353" s="6"/>
      <c r="L353" s="6"/>
      <c r="M353" s="7"/>
      <c r="N353" s="7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4"/>
      <c r="I354" s="5"/>
      <c r="J354" s="2"/>
      <c r="K354" s="6"/>
      <c r="L354" s="6"/>
      <c r="M354" s="7"/>
      <c r="N354" s="7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4"/>
      <c r="I355" s="5"/>
      <c r="J355" s="2"/>
      <c r="K355" s="6"/>
      <c r="L355" s="6"/>
      <c r="M355" s="7"/>
      <c r="N355" s="7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4"/>
      <c r="I356" s="5"/>
      <c r="J356" s="2"/>
      <c r="K356" s="6"/>
      <c r="L356" s="6"/>
      <c r="M356" s="7"/>
      <c r="N356" s="7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4"/>
      <c r="I357" s="5"/>
      <c r="J357" s="2"/>
      <c r="K357" s="6"/>
      <c r="L357" s="6"/>
      <c r="M357" s="7"/>
      <c r="N357" s="7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4"/>
      <c r="I358" s="5"/>
      <c r="J358" s="2"/>
      <c r="K358" s="6"/>
      <c r="L358" s="6"/>
      <c r="M358" s="7"/>
      <c r="N358" s="7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4"/>
      <c r="I359" s="5"/>
      <c r="J359" s="2"/>
      <c r="K359" s="6"/>
      <c r="L359" s="6"/>
      <c r="M359" s="7"/>
      <c r="N359" s="7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4"/>
      <c r="I360" s="5"/>
      <c r="J360" s="2"/>
      <c r="K360" s="6"/>
      <c r="L360" s="6"/>
      <c r="M360" s="7"/>
      <c r="N360" s="7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4"/>
      <c r="I361" s="5"/>
      <c r="J361" s="2"/>
      <c r="K361" s="6"/>
      <c r="L361" s="6"/>
      <c r="M361" s="7"/>
      <c r="N361" s="7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4"/>
      <c r="I362" s="5"/>
      <c r="J362" s="2"/>
      <c r="K362" s="6"/>
      <c r="L362" s="6"/>
      <c r="M362" s="7"/>
      <c r="N362" s="7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4"/>
      <c r="I363" s="5"/>
      <c r="J363" s="2"/>
      <c r="K363" s="6"/>
      <c r="L363" s="6"/>
      <c r="M363" s="7"/>
      <c r="N363" s="7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4"/>
      <c r="I364" s="5"/>
      <c r="J364" s="2"/>
      <c r="K364" s="6"/>
      <c r="L364" s="6"/>
      <c r="M364" s="7"/>
      <c r="N364" s="7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4"/>
      <c r="I365" s="5"/>
      <c r="J365" s="2"/>
      <c r="K365" s="6"/>
      <c r="L365" s="6"/>
      <c r="M365" s="7"/>
      <c r="N365" s="7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4"/>
      <c r="I366" s="5"/>
      <c r="J366" s="2"/>
      <c r="K366" s="6"/>
      <c r="L366" s="6"/>
      <c r="M366" s="7"/>
      <c r="N366" s="7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4"/>
      <c r="I367" s="5"/>
      <c r="J367" s="2"/>
      <c r="K367" s="6"/>
      <c r="L367" s="6"/>
      <c r="M367" s="7"/>
      <c r="N367" s="7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4"/>
      <c r="I368" s="5"/>
      <c r="J368" s="2"/>
      <c r="K368" s="6"/>
      <c r="L368" s="6"/>
      <c r="M368" s="7"/>
      <c r="N368" s="7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4"/>
      <c r="I369" s="5"/>
      <c r="J369" s="2"/>
      <c r="K369" s="6"/>
      <c r="L369" s="6"/>
      <c r="M369" s="7"/>
      <c r="N369" s="7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4"/>
      <c r="I370" s="5"/>
      <c r="J370" s="2"/>
      <c r="K370" s="6"/>
      <c r="L370" s="6"/>
      <c r="M370" s="7"/>
      <c r="N370" s="7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4"/>
      <c r="I371" s="5"/>
      <c r="J371" s="2"/>
      <c r="K371" s="6"/>
      <c r="L371" s="6"/>
      <c r="M371" s="7"/>
      <c r="N371" s="7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4"/>
      <c r="I372" s="5"/>
      <c r="J372" s="2"/>
      <c r="K372" s="6"/>
      <c r="L372" s="6"/>
      <c r="M372" s="7"/>
      <c r="N372" s="7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4"/>
      <c r="I373" s="5"/>
      <c r="J373" s="2"/>
      <c r="K373" s="6"/>
      <c r="L373" s="6"/>
      <c r="M373" s="7"/>
      <c r="N373" s="7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4"/>
      <c r="I374" s="5"/>
      <c r="J374" s="2"/>
      <c r="K374" s="6"/>
      <c r="L374" s="6"/>
      <c r="M374" s="7"/>
      <c r="N374" s="7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4"/>
      <c r="I375" s="5"/>
      <c r="J375" s="2"/>
      <c r="K375" s="6"/>
      <c r="L375" s="6"/>
      <c r="M375" s="7"/>
      <c r="N375" s="7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4"/>
      <c r="I376" s="5"/>
      <c r="J376" s="2"/>
      <c r="K376" s="6"/>
      <c r="L376" s="6"/>
      <c r="M376" s="7"/>
      <c r="N376" s="7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4"/>
      <c r="I377" s="5"/>
      <c r="J377" s="2"/>
      <c r="K377" s="6"/>
      <c r="L377" s="6"/>
      <c r="M377" s="7"/>
      <c r="N377" s="7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4"/>
      <c r="I378" s="5"/>
      <c r="J378" s="2"/>
      <c r="K378" s="6"/>
      <c r="L378" s="6"/>
      <c r="M378" s="7"/>
      <c r="N378" s="7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4"/>
      <c r="I379" s="5"/>
      <c r="J379" s="2"/>
      <c r="K379" s="6"/>
      <c r="L379" s="6"/>
      <c r="M379" s="7"/>
      <c r="N379" s="7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4"/>
      <c r="I380" s="5"/>
      <c r="J380" s="2"/>
      <c r="K380" s="6"/>
      <c r="L380" s="6"/>
      <c r="M380" s="7"/>
      <c r="N380" s="7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4"/>
      <c r="I381" s="5"/>
      <c r="J381" s="2"/>
      <c r="K381" s="6"/>
      <c r="L381" s="6"/>
      <c r="M381" s="7"/>
      <c r="N381" s="7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4"/>
      <c r="I382" s="5"/>
      <c r="J382" s="2"/>
      <c r="K382" s="6"/>
      <c r="L382" s="6"/>
      <c r="M382" s="7"/>
      <c r="N382" s="7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4"/>
      <c r="I383" s="5"/>
      <c r="J383" s="2"/>
      <c r="K383" s="6"/>
      <c r="L383" s="6"/>
      <c r="M383" s="7"/>
      <c r="N383" s="7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4"/>
      <c r="I384" s="5"/>
      <c r="J384" s="2"/>
      <c r="K384" s="6"/>
      <c r="L384" s="6"/>
      <c r="M384" s="7"/>
      <c r="N384" s="7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4"/>
      <c r="I385" s="5"/>
      <c r="J385" s="2"/>
      <c r="K385" s="6"/>
      <c r="L385" s="6"/>
      <c r="M385" s="7"/>
      <c r="N385" s="7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4"/>
      <c r="I386" s="5"/>
      <c r="J386" s="2"/>
      <c r="K386" s="6"/>
      <c r="L386" s="6"/>
      <c r="M386" s="7"/>
      <c r="N386" s="7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4"/>
      <c r="I387" s="5"/>
      <c r="J387" s="2"/>
      <c r="K387" s="6"/>
      <c r="L387" s="6"/>
      <c r="M387" s="7"/>
      <c r="N387" s="7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4"/>
      <c r="I388" s="5"/>
      <c r="J388" s="2"/>
      <c r="K388" s="6"/>
      <c r="L388" s="6"/>
      <c r="M388" s="7"/>
      <c r="N388" s="7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4"/>
      <c r="I389" s="5"/>
      <c r="J389" s="2"/>
      <c r="K389" s="6"/>
      <c r="L389" s="6"/>
      <c r="M389" s="7"/>
      <c r="N389" s="7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4"/>
      <c r="I390" s="5"/>
      <c r="J390" s="2"/>
      <c r="K390" s="6"/>
      <c r="L390" s="6"/>
      <c r="M390" s="7"/>
      <c r="N390" s="7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4"/>
      <c r="I391" s="5"/>
      <c r="J391" s="2"/>
      <c r="K391" s="6"/>
      <c r="L391" s="6"/>
      <c r="M391" s="7"/>
      <c r="N391" s="7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4"/>
      <c r="I392" s="5"/>
      <c r="J392" s="2"/>
      <c r="K392" s="6"/>
      <c r="L392" s="6"/>
      <c r="M392" s="7"/>
      <c r="N392" s="7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4"/>
      <c r="I393" s="5"/>
      <c r="J393" s="2"/>
      <c r="K393" s="6"/>
      <c r="L393" s="6"/>
      <c r="M393" s="7"/>
      <c r="N393" s="7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4"/>
      <c r="I394" s="5"/>
      <c r="J394" s="2"/>
      <c r="K394" s="6"/>
      <c r="L394" s="6"/>
      <c r="M394" s="7"/>
      <c r="N394" s="7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4"/>
      <c r="I395" s="5"/>
      <c r="J395" s="2"/>
      <c r="K395" s="6"/>
      <c r="L395" s="6"/>
      <c r="M395" s="7"/>
      <c r="N395" s="7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4"/>
      <c r="I396" s="5"/>
      <c r="J396" s="2"/>
      <c r="K396" s="6"/>
      <c r="L396" s="6"/>
      <c r="M396" s="7"/>
      <c r="N396" s="7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4"/>
      <c r="I397" s="5"/>
      <c r="J397" s="2"/>
      <c r="K397" s="6"/>
      <c r="L397" s="6"/>
      <c r="M397" s="7"/>
      <c r="N397" s="7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4"/>
      <c r="I398" s="5"/>
      <c r="J398" s="2"/>
      <c r="K398" s="6"/>
      <c r="L398" s="6"/>
      <c r="M398" s="7"/>
      <c r="N398" s="7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4"/>
      <c r="I399" s="5"/>
      <c r="J399" s="2"/>
      <c r="K399" s="6"/>
      <c r="L399" s="6"/>
      <c r="M399" s="7"/>
      <c r="N399" s="7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4"/>
      <c r="I400" s="5"/>
      <c r="J400" s="2"/>
      <c r="K400" s="6"/>
      <c r="L400" s="6"/>
      <c r="M400" s="7"/>
      <c r="N400" s="7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4"/>
      <c r="I401" s="5"/>
      <c r="J401" s="2"/>
      <c r="K401" s="6"/>
      <c r="L401" s="6"/>
      <c r="M401" s="7"/>
      <c r="N401" s="7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4"/>
      <c r="I402" s="5"/>
      <c r="J402" s="2"/>
      <c r="K402" s="6"/>
      <c r="L402" s="6"/>
      <c r="M402" s="7"/>
      <c r="N402" s="7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4"/>
      <c r="I403" s="5"/>
      <c r="J403" s="2"/>
      <c r="K403" s="6"/>
      <c r="L403" s="6"/>
      <c r="M403" s="7"/>
      <c r="N403" s="7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4"/>
      <c r="I404" s="5"/>
      <c r="J404" s="2"/>
      <c r="K404" s="6"/>
      <c r="L404" s="6"/>
      <c r="M404" s="7"/>
      <c r="N404" s="7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4"/>
      <c r="I405" s="5"/>
      <c r="J405" s="2"/>
      <c r="K405" s="6"/>
      <c r="L405" s="6"/>
      <c r="M405" s="7"/>
      <c r="N405" s="7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4"/>
      <c r="I406" s="5"/>
      <c r="J406" s="2"/>
      <c r="K406" s="6"/>
      <c r="L406" s="6"/>
      <c r="M406" s="7"/>
      <c r="N406" s="7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4"/>
      <c r="I407" s="5"/>
      <c r="J407" s="2"/>
      <c r="K407" s="6"/>
      <c r="L407" s="6"/>
      <c r="M407" s="7"/>
      <c r="N407" s="7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4"/>
      <c r="I408" s="5"/>
      <c r="J408" s="2"/>
      <c r="K408" s="6"/>
      <c r="L408" s="6"/>
      <c r="M408" s="7"/>
      <c r="N408" s="7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4"/>
      <c r="I409" s="5"/>
      <c r="J409" s="2"/>
      <c r="K409" s="6"/>
      <c r="L409" s="6"/>
      <c r="M409" s="7"/>
      <c r="N409" s="7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4"/>
      <c r="I410" s="5"/>
      <c r="J410" s="2"/>
      <c r="K410" s="6"/>
      <c r="L410" s="6"/>
      <c r="M410" s="7"/>
      <c r="N410" s="7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4"/>
      <c r="I411" s="5"/>
      <c r="J411" s="2"/>
      <c r="K411" s="6"/>
      <c r="L411" s="6"/>
      <c r="M411" s="7"/>
      <c r="N411" s="7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4"/>
      <c r="I412" s="5"/>
      <c r="J412" s="2"/>
      <c r="K412" s="6"/>
      <c r="L412" s="6"/>
      <c r="M412" s="7"/>
      <c r="N412" s="7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4"/>
      <c r="I413" s="5"/>
      <c r="J413" s="2"/>
      <c r="K413" s="6"/>
      <c r="L413" s="6"/>
      <c r="M413" s="7"/>
      <c r="N413" s="7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4"/>
      <c r="I414" s="5"/>
      <c r="J414" s="2"/>
      <c r="K414" s="6"/>
      <c r="L414" s="6"/>
      <c r="M414" s="7"/>
      <c r="N414" s="7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4"/>
      <c r="I415" s="5"/>
      <c r="J415" s="2"/>
      <c r="K415" s="6"/>
      <c r="L415" s="6"/>
      <c r="M415" s="7"/>
      <c r="N415" s="7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4"/>
      <c r="I416" s="5"/>
      <c r="J416" s="2"/>
      <c r="K416" s="6"/>
      <c r="L416" s="6"/>
      <c r="M416" s="7"/>
      <c r="N416" s="7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4"/>
      <c r="I417" s="5"/>
      <c r="J417" s="2"/>
      <c r="K417" s="6"/>
      <c r="L417" s="6"/>
      <c r="M417" s="7"/>
      <c r="N417" s="7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4"/>
      <c r="I418" s="5"/>
      <c r="J418" s="2"/>
      <c r="K418" s="6"/>
      <c r="L418" s="6"/>
      <c r="M418" s="7"/>
      <c r="N418" s="7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4"/>
      <c r="I419" s="5"/>
      <c r="J419" s="2"/>
      <c r="K419" s="6"/>
      <c r="L419" s="6"/>
      <c r="M419" s="7"/>
      <c r="N419" s="7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4"/>
      <c r="I420" s="5"/>
      <c r="J420" s="2"/>
      <c r="K420" s="6"/>
      <c r="L420" s="6"/>
      <c r="M420" s="7"/>
      <c r="N420" s="7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4"/>
      <c r="I421" s="5"/>
      <c r="J421" s="2"/>
      <c r="K421" s="6"/>
      <c r="L421" s="6"/>
      <c r="M421" s="7"/>
      <c r="N421" s="7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4"/>
      <c r="I422" s="5"/>
      <c r="J422" s="2"/>
      <c r="K422" s="6"/>
      <c r="L422" s="6"/>
      <c r="M422" s="7"/>
      <c r="N422" s="7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4"/>
      <c r="I423" s="5"/>
      <c r="J423" s="2"/>
      <c r="K423" s="6"/>
      <c r="L423" s="6"/>
      <c r="M423" s="7"/>
      <c r="N423" s="7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4"/>
      <c r="I424" s="5"/>
      <c r="J424" s="2"/>
      <c r="K424" s="6"/>
      <c r="L424" s="6"/>
      <c r="M424" s="7"/>
      <c r="N424" s="7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4"/>
      <c r="I425" s="5"/>
      <c r="J425" s="2"/>
      <c r="K425" s="6"/>
      <c r="L425" s="6"/>
      <c r="M425" s="7"/>
      <c r="N425" s="7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4"/>
      <c r="I426" s="5"/>
      <c r="J426" s="2"/>
      <c r="K426" s="6"/>
      <c r="L426" s="6"/>
      <c r="M426" s="7"/>
      <c r="N426" s="7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4"/>
      <c r="I427" s="5"/>
      <c r="J427" s="2"/>
      <c r="K427" s="6"/>
      <c r="L427" s="6"/>
      <c r="M427" s="7"/>
      <c r="N427" s="7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4"/>
      <c r="I428" s="5"/>
      <c r="J428" s="2"/>
      <c r="K428" s="6"/>
      <c r="L428" s="6"/>
      <c r="M428" s="7"/>
      <c r="N428" s="7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4"/>
      <c r="I429" s="5"/>
      <c r="J429" s="2"/>
      <c r="K429" s="6"/>
      <c r="L429" s="6"/>
      <c r="M429" s="7"/>
      <c r="N429" s="7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4"/>
      <c r="I430" s="5"/>
      <c r="J430" s="2"/>
      <c r="K430" s="6"/>
      <c r="L430" s="6"/>
      <c r="M430" s="7"/>
      <c r="N430" s="7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4"/>
      <c r="I431" s="5"/>
      <c r="J431" s="2"/>
      <c r="K431" s="6"/>
      <c r="L431" s="6"/>
      <c r="M431" s="7"/>
      <c r="N431" s="7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4"/>
      <c r="I432" s="5"/>
      <c r="J432" s="2"/>
      <c r="K432" s="6"/>
      <c r="L432" s="6"/>
      <c r="M432" s="7"/>
      <c r="N432" s="7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4"/>
      <c r="I433" s="5"/>
      <c r="J433" s="2"/>
      <c r="K433" s="6"/>
      <c r="L433" s="6"/>
      <c r="M433" s="7"/>
      <c r="N433" s="7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4"/>
      <c r="I434" s="5"/>
      <c r="J434" s="2"/>
      <c r="K434" s="6"/>
      <c r="L434" s="6"/>
      <c r="M434" s="7"/>
      <c r="N434" s="7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4"/>
      <c r="I435" s="5"/>
      <c r="J435" s="2"/>
      <c r="K435" s="6"/>
      <c r="L435" s="6"/>
      <c r="M435" s="7"/>
      <c r="N435" s="7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4"/>
      <c r="I436" s="5"/>
      <c r="J436" s="2"/>
      <c r="K436" s="6"/>
      <c r="L436" s="6"/>
      <c r="M436" s="7"/>
      <c r="N436" s="7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4"/>
      <c r="I437" s="5"/>
      <c r="J437" s="2"/>
      <c r="K437" s="6"/>
      <c r="L437" s="6"/>
      <c r="M437" s="7"/>
      <c r="N437" s="7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4"/>
      <c r="I438" s="5"/>
      <c r="J438" s="2"/>
      <c r="K438" s="6"/>
      <c r="L438" s="6"/>
      <c r="M438" s="7"/>
      <c r="N438" s="7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4"/>
      <c r="I439" s="5"/>
      <c r="J439" s="2"/>
      <c r="K439" s="6"/>
      <c r="L439" s="6"/>
      <c r="M439" s="7"/>
      <c r="N439" s="7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4"/>
      <c r="I440" s="5"/>
      <c r="J440" s="2"/>
      <c r="K440" s="6"/>
      <c r="L440" s="6"/>
      <c r="M440" s="7"/>
      <c r="N440" s="7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4"/>
      <c r="I441" s="5"/>
      <c r="J441" s="2"/>
      <c r="K441" s="6"/>
      <c r="L441" s="6"/>
      <c r="M441" s="7"/>
      <c r="N441" s="7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4"/>
      <c r="I442" s="5"/>
      <c r="J442" s="2"/>
      <c r="K442" s="6"/>
      <c r="L442" s="6"/>
      <c r="M442" s="7"/>
      <c r="N442" s="7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4"/>
      <c r="I443" s="5"/>
      <c r="J443" s="2"/>
      <c r="K443" s="6"/>
      <c r="L443" s="6"/>
      <c r="M443" s="7"/>
      <c r="N443" s="7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4"/>
      <c r="I444" s="5"/>
      <c r="J444" s="2"/>
      <c r="K444" s="6"/>
      <c r="L444" s="6"/>
      <c r="M444" s="7"/>
      <c r="N444" s="7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4"/>
      <c r="I445" s="5"/>
      <c r="J445" s="2"/>
      <c r="K445" s="6"/>
      <c r="L445" s="6"/>
      <c r="M445" s="7"/>
      <c r="N445" s="7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4"/>
      <c r="I446" s="5"/>
      <c r="J446" s="2"/>
      <c r="K446" s="6"/>
      <c r="L446" s="6"/>
      <c r="M446" s="7"/>
      <c r="N446" s="7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4"/>
      <c r="I447" s="5"/>
      <c r="J447" s="2"/>
      <c r="K447" s="6"/>
      <c r="L447" s="6"/>
      <c r="M447" s="7"/>
      <c r="N447" s="7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4"/>
      <c r="I448" s="5"/>
      <c r="J448" s="2"/>
      <c r="K448" s="6"/>
      <c r="L448" s="6"/>
      <c r="M448" s="7"/>
      <c r="N448" s="7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4"/>
      <c r="I449" s="5"/>
      <c r="J449" s="2"/>
      <c r="K449" s="6"/>
      <c r="L449" s="6"/>
      <c r="M449" s="7"/>
      <c r="N449" s="7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4"/>
      <c r="I450" s="5"/>
      <c r="J450" s="2"/>
      <c r="K450" s="6"/>
      <c r="L450" s="6"/>
      <c r="M450" s="7"/>
      <c r="N450" s="7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4"/>
      <c r="I451" s="5"/>
      <c r="J451" s="2"/>
      <c r="K451" s="6"/>
      <c r="L451" s="6"/>
      <c r="M451" s="7"/>
      <c r="N451" s="7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4"/>
      <c r="I452" s="5"/>
      <c r="J452" s="2"/>
      <c r="K452" s="6"/>
      <c r="L452" s="6"/>
      <c r="M452" s="7"/>
      <c r="N452" s="7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4"/>
      <c r="I453" s="5"/>
      <c r="J453" s="2"/>
      <c r="K453" s="6"/>
      <c r="L453" s="6"/>
      <c r="M453" s="7"/>
      <c r="N453" s="7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4"/>
      <c r="I454" s="5"/>
      <c r="J454" s="2"/>
      <c r="K454" s="6"/>
      <c r="L454" s="6"/>
      <c r="M454" s="7"/>
      <c r="N454" s="7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4"/>
      <c r="I455" s="5"/>
      <c r="J455" s="2"/>
      <c r="K455" s="6"/>
      <c r="L455" s="6"/>
      <c r="M455" s="7"/>
      <c r="N455" s="7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4"/>
      <c r="I456" s="5"/>
      <c r="J456" s="2"/>
      <c r="K456" s="6"/>
      <c r="L456" s="6"/>
      <c r="M456" s="7"/>
      <c r="N456" s="7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4"/>
      <c r="I457" s="5"/>
      <c r="J457" s="2"/>
      <c r="K457" s="6"/>
      <c r="L457" s="6"/>
      <c r="M457" s="7"/>
      <c r="N457" s="7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4"/>
      <c r="I458" s="5"/>
      <c r="J458" s="2"/>
      <c r="K458" s="6"/>
      <c r="L458" s="6"/>
      <c r="M458" s="7"/>
      <c r="N458" s="7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4"/>
      <c r="I459" s="5"/>
      <c r="J459" s="2"/>
      <c r="K459" s="6"/>
      <c r="L459" s="6"/>
      <c r="M459" s="7"/>
      <c r="N459" s="7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4"/>
      <c r="I460" s="5"/>
      <c r="J460" s="2"/>
      <c r="K460" s="6"/>
      <c r="L460" s="6"/>
      <c r="M460" s="7"/>
      <c r="N460" s="7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4"/>
      <c r="I461" s="5"/>
      <c r="J461" s="2"/>
      <c r="K461" s="6"/>
      <c r="L461" s="6"/>
      <c r="M461" s="7"/>
      <c r="N461" s="7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4"/>
      <c r="I462" s="5"/>
      <c r="J462" s="2"/>
      <c r="K462" s="6"/>
      <c r="L462" s="6"/>
      <c r="M462" s="7"/>
      <c r="N462" s="7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4"/>
      <c r="I463" s="5"/>
      <c r="J463" s="2"/>
      <c r="K463" s="6"/>
      <c r="L463" s="6"/>
      <c r="M463" s="7"/>
      <c r="N463" s="7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4"/>
      <c r="I464" s="5"/>
      <c r="J464" s="2"/>
      <c r="K464" s="6"/>
      <c r="L464" s="6"/>
      <c r="M464" s="7"/>
      <c r="N464" s="7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4"/>
      <c r="I465" s="5"/>
      <c r="J465" s="2"/>
      <c r="K465" s="6"/>
      <c r="L465" s="6"/>
      <c r="M465" s="7"/>
      <c r="N465" s="7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4"/>
      <c r="I466" s="5"/>
      <c r="J466" s="2"/>
      <c r="K466" s="6"/>
      <c r="L466" s="6"/>
      <c r="M466" s="7"/>
      <c r="N466" s="7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4"/>
      <c r="I467" s="5"/>
      <c r="J467" s="2"/>
      <c r="K467" s="6"/>
      <c r="L467" s="6"/>
      <c r="M467" s="7"/>
      <c r="N467" s="7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4"/>
      <c r="I468" s="5"/>
      <c r="J468" s="2"/>
      <c r="K468" s="6"/>
      <c r="L468" s="6"/>
      <c r="M468" s="7"/>
      <c r="N468" s="7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4"/>
      <c r="I469" s="5"/>
      <c r="J469" s="2"/>
      <c r="K469" s="6"/>
      <c r="L469" s="6"/>
      <c r="M469" s="7"/>
      <c r="N469" s="7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4"/>
      <c r="I470" s="5"/>
      <c r="J470" s="2"/>
      <c r="K470" s="6"/>
      <c r="L470" s="6"/>
      <c r="M470" s="7"/>
      <c r="N470" s="7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4"/>
      <c r="I471" s="5"/>
      <c r="J471" s="2"/>
      <c r="K471" s="6"/>
      <c r="L471" s="6"/>
      <c r="M471" s="7"/>
      <c r="N471" s="7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4"/>
      <c r="I472" s="5"/>
      <c r="J472" s="2"/>
      <c r="K472" s="6"/>
      <c r="L472" s="6"/>
      <c r="M472" s="7"/>
      <c r="N472" s="7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4"/>
      <c r="I473" s="5"/>
      <c r="J473" s="2"/>
      <c r="K473" s="6"/>
      <c r="L473" s="6"/>
      <c r="M473" s="7"/>
      <c r="N473" s="7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4"/>
      <c r="I474" s="5"/>
      <c r="J474" s="2"/>
      <c r="K474" s="6"/>
      <c r="L474" s="6"/>
      <c r="M474" s="7"/>
      <c r="N474" s="7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4"/>
      <c r="I475" s="5"/>
      <c r="J475" s="2"/>
      <c r="K475" s="6"/>
      <c r="L475" s="6"/>
      <c r="M475" s="7"/>
      <c r="N475" s="7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4"/>
      <c r="I476" s="5"/>
      <c r="J476" s="2"/>
      <c r="K476" s="6"/>
      <c r="L476" s="6"/>
      <c r="M476" s="7"/>
      <c r="N476" s="7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4"/>
      <c r="I477" s="5"/>
      <c r="J477" s="2"/>
      <c r="K477" s="6"/>
      <c r="L477" s="6"/>
      <c r="M477" s="7"/>
      <c r="N477" s="7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4"/>
      <c r="I478" s="5"/>
      <c r="J478" s="2"/>
      <c r="K478" s="6"/>
      <c r="L478" s="6"/>
      <c r="M478" s="7"/>
      <c r="N478" s="7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4"/>
      <c r="I479" s="5"/>
      <c r="J479" s="2"/>
      <c r="K479" s="6"/>
      <c r="L479" s="6"/>
      <c r="M479" s="7"/>
      <c r="N479" s="7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4"/>
      <c r="I480" s="5"/>
      <c r="J480" s="2"/>
      <c r="K480" s="6"/>
      <c r="L480" s="6"/>
      <c r="M480" s="7"/>
      <c r="N480" s="7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4"/>
      <c r="I481" s="5"/>
      <c r="J481" s="2"/>
      <c r="K481" s="6"/>
      <c r="L481" s="6"/>
      <c r="M481" s="7"/>
      <c r="N481" s="7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4"/>
      <c r="I482" s="5"/>
      <c r="J482" s="2"/>
      <c r="K482" s="6"/>
      <c r="L482" s="6"/>
      <c r="M482" s="7"/>
      <c r="N482" s="7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4"/>
      <c r="I483" s="5"/>
      <c r="J483" s="2"/>
      <c r="K483" s="6"/>
      <c r="L483" s="6"/>
      <c r="M483" s="7"/>
      <c r="N483" s="7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4"/>
      <c r="I484" s="5"/>
      <c r="J484" s="2"/>
      <c r="K484" s="6"/>
      <c r="L484" s="6"/>
      <c r="M484" s="7"/>
      <c r="N484" s="7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4"/>
      <c r="I485" s="5"/>
      <c r="J485" s="2"/>
      <c r="K485" s="6"/>
      <c r="L485" s="6"/>
      <c r="M485" s="7"/>
      <c r="N485" s="7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4"/>
      <c r="I486" s="5"/>
      <c r="J486" s="2"/>
      <c r="K486" s="6"/>
      <c r="L486" s="6"/>
      <c r="M486" s="7"/>
      <c r="N486" s="7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4"/>
      <c r="I487" s="5"/>
      <c r="J487" s="2"/>
      <c r="K487" s="6"/>
      <c r="L487" s="6"/>
      <c r="M487" s="7"/>
      <c r="N487" s="7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4"/>
      <c r="I488" s="5"/>
      <c r="J488" s="2"/>
      <c r="K488" s="6"/>
      <c r="L488" s="6"/>
      <c r="M488" s="7"/>
      <c r="N488" s="7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4"/>
      <c r="I489" s="5"/>
      <c r="J489" s="2"/>
      <c r="K489" s="6"/>
      <c r="L489" s="6"/>
      <c r="M489" s="7"/>
      <c r="N489" s="7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4"/>
      <c r="I490" s="5"/>
      <c r="J490" s="2"/>
      <c r="K490" s="6"/>
      <c r="L490" s="6"/>
      <c r="M490" s="7"/>
      <c r="N490" s="7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4"/>
      <c r="I491" s="5"/>
      <c r="J491" s="2"/>
      <c r="K491" s="6"/>
      <c r="L491" s="6"/>
      <c r="M491" s="7"/>
      <c r="N491" s="7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4"/>
      <c r="I492" s="5"/>
      <c r="J492" s="2"/>
      <c r="K492" s="6"/>
      <c r="L492" s="6"/>
      <c r="M492" s="7"/>
      <c r="N492" s="7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4"/>
      <c r="I493" s="5"/>
      <c r="J493" s="2"/>
      <c r="K493" s="6"/>
      <c r="L493" s="6"/>
      <c r="M493" s="7"/>
      <c r="N493" s="7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4"/>
      <c r="I494" s="5"/>
      <c r="J494" s="2"/>
      <c r="K494" s="6"/>
      <c r="L494" s="6"/>
      <c r="M494" s="7"/>
      <c r="N494" s="7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4"/>
      <c r="I495" s="5"/>
      <c r="J495" s="2"/>
      <c r="K495" s="6"/>
      <c r="L495" s="6"/>
      <c r="M495" s="7"/>
      <c r="N495" s="7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4"/>
      <c r="I496" s="5"/>
      <c r="J496" s="2"/>
      <c r="K496" s="6"/>
      <c r="L496" s="6"/>
      <c r="M496" s="7"/>
      <c r="N496" s="7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4"/>
      <c r="I497" s="5"/>
      <c r="J497" s="2"/>
      <c r="K497" s="6"/>
      <c r="L497" s="6"/>
      <c r="M497" s="7"/>
      <c r="N497" s="7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4"/>
      <c r="I498" s="5"/>
      <c r="J498" s="2"/>
      <c r="K498" s="6"/>
      <c r="L498" s="6"/>
      <c r="M498" s="7"/>
      <c r="N498" s="7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4"/>
      <c r="I499" s="5"/>
      <c r="J499" s="2"/>
      <c r="K499" s="6"/>
      <c r="L499" s="6"/>
      <c r="M499" s="7"/>
      <c r="N499" s="7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4"/>
      <c r="I500" s="5"/>
      <c r="J500" s="2"/>
      <c r="K500" s="6"/>
      <c r="L500" s="6"/>
      <c r="M500" s="7"/>
      <c r="N500" s="7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4"/>
      <c r="I501" s="5"/>
      <c r="J501" s="2"/>
      <c r="K501" s="6"/>
      <c r="L501" s="6"/>
      <c r="M501" s="7"/>
      <c r="N501" s="7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4"/>
      <c r="I502" s="5"/>
      <c r="J502" s="2"/>
      <c r="K502" s="6"/>
      <c r="L502" s="6"/>
      <c r="M502" s="7"/>
      <c r="N502" s="7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4"/>
      <c r="I503" s="5"/>
      <c r="J503" s="2"/>
      <c r="K503" s="6"/>
      <c r="L503" s="6"/>
      <c r="M503" s="7"/>
      <c r="N503" s="7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4"/>
      <c r="I504" s="5"/>
      <c r="J504" s="2"/>
      <c r="K504" s="6"/>
      <c r="L504" s="6"/>
      <c r="M504" s="7"/>
      <c r="N504" s="7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4"/>
      <c r="I505" s="5"/>
      <c r="J505" s="2"/>
      <c r="K505" s="6"/>
      <c r="L505" s="6"/>
      <c r="M505" s="7"/>
      <c r="N505" s="7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4"/>
      <c r="I506" s="5"/>
      <c r="J506" s="2"/>
      <c r="K506" s="6"/>
      <c r="L506" s="6"/>
      <c r="M506" s="7"/>
      <c r="N506" s="7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4"/>
      <c r="I507" s="5"/>
      <c r="J507" s="2"/>
      <c r="K507" s="6"/>
      <c r="L507" s="6"/>
      <c r="M507" s="7"/>
      <c r="N507" s="7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4"/>
      <c r="I508" s="5"/>
      <c r="J508" s="2"/>
      <c r="K508" s="6"/>
      <c r="L508" s="6"/>
      <c r="M508" s="7"/>
      <c r="N508" s="7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4"/>
      <c r="I509" s="5"/>
      <c r="J509" s="2"/>
      <c r="K509" s="6"/>
      <c r="L509" s="6"/>
      <c r="M509" s="7"/>
      <c r="N509" s="7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4"/>
      <c r="I510" s="5"/>
      <c r="J510" s="2"/>
      <c r="K510" s="6"/>
      <c r="L510" s="6"/>
      <c r="M510" s="7"/>
      <c r="N510" s="7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4"/>
      <c r="I511" s="5"/>
      <c r="J511" s="2"/>
      <c r="K511" s="6"/>
      <c r="L511" s="6"/>
      <c r="M511" s="7"/>
      <c r="N511" s="7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4"/>
      <c r="I512" s="5"/>
      <c r="J512" s="2"/>
      <c r="K512" s="6"/>
      <c r="L512" s="6"/>
      <c r="M512" s="7"/>
      <c r="N512" s="7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4"/>
      <c r="I513" s="5"/>
      <c r="J513" s="2"/>
      <c r="K513" s="6"/>
      <c r="L513" s="6"/>
      <c r="M513" s="7"/>
      <c r="N513" s="7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4"/>
      <c r="I514" s="5"/>
      <c r="J514" s="2"/>
      <c r="K514" s="6"/>
      <c r="L514" s="6"/>
      <c r="M514" s="7"/>
      <c r="N514" s="7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4"/>
      <c r="I515" s="5"/>
      <c r="J515" s="2"/>
      <c r="K515" s="6"/>
      <c r="L515" s="6"/>
      <c r="M515" s="7"/>
      <c r="N515" s="7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4"/>
      <c r="I516" s="5"/>
      <c r="J516" s="2"/>
      <c r="K516" s="6"/>
      <c r="L516" s="6"/>
      <c r="M516" s="7"/>
      <c r="N516" s="7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4"/>
      <c r="I517" s="5"/>
      <c r="J517" s="2"/>
      <c r="K517" s="6"/>
      <c r="L517" s="6"/>
      <c r="M517" s="7"/>
      <c r="N517" s="7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4"/>
      <c r="I518" s="5"/>
      <c r="J518" s="2"/>
      <c r="K518" s="6"/>
      <c r="L518" s="6"/>
      <c r="M518" s="7"/>
      <c r="N518" s="7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4"/>
      <c r="I519" s="5"/>
      <c r="J519" s="2"/>
      <c r="K519" s="6"/>
      <c r="L519" s="6"/>
      <c r="M519" s="7"/>
      <c r="N519" s="7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4"/>
      <c r="I520" s="5"/>
      <c r="J520" s="2"/>
      <c r="K520" s="6"/>
      <c r="L520" s="6"/>
      <c r="M520" s="7"/>
      <c r="N520" s="7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4"/>
      <c r="I521" s="5"/>
      <c r="J521" s="2"/>
      <c r="K521" s="6"/>
      <c r="L521" s="6"/>
      <c r="M521" s="7"/>
      <c r="N521" s="7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4"/>
      <c r="I522" s="5"/>
      <c r="J522" s="2"/>
      <c r="K522" s="6"/>
      <c r="L522" s="6"/>
      <c r="M522" s="7"/>
      <c r="N522" s="7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4"/>
      <c r="I523" s="5"/>
      <c r="J523" s="2"/>
      <c r="K523" s="6"/>
      <c r="L523" s="6"/>
      <c r="M523" s="7"/>
      <c r="N523" s="7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4"/>
      <c r="I524" s="5"/>
      <c r="J524" s="2"/>
      <c r="K524" s="6"/>
      <c r="L524" s="6"/>
      <c r="M524" s="7"/>
      <c r="N524" s="7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4"/>
      <c r="I525" s="5"/>
      <c r="J525" s="2"/>
      <c r="K525" s="6"/>
      <c r="L525" s="6"/>
      <c r="M525" s="7"/>
      <c r="N525" s="7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4"/>
      <c r="I526" s="5"/>
      <c r="J526" s="2"/>
      <c r="K526" s="6"/>
      <c r="L526" s="6"/>
      <c r="M526" s="7"/>
      <c r="N526" s="7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4"/>
      <c r="I527" s="5"/>
      <c r="J527" s="2"/>
      <c r="K527" s="6"/>
      <c r="L527" s="6"/>
      <c r="M527" s="7"/>
      <c r="N527" s="7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4"/>
      <c r="I528" s="5"/>
      <c r="J528" s="2"/>
      <c r="K528" s="6"/>
      <c r="L528" s="6"/>
      <c r="M528" s="7"/>
      <c r="N528" s="7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4"/>
      <c r="I529" s="5"/>
      <c r="J529" s="2"/>
      <c r="K529" s="6"/>
      <c r="L529" s="6"/>
      <c r="M529" s="7"/>
      <c r="N529" s="7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4"/>
      <c r="I530" s="5"/>
      <c r="J530" s="2"/>
      <c r="K530" s="6"/>
      <c r="L530" s="6"/>
      <c r="M530" s="7"/>
      <c r="N530" s="7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4"/>
      <c r="I531" s="5"/>
      <c r="J531" s="2"/>
      <c r="K531" s="6"/>
      <c r="L531" s="6"/>
      <c r="M531" s="7"/>
      <c r="N531" s="7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4"/>
      <c r="I532" s="5"/>
      <c r="J532" s="2"/>
      <c r="K532" s="6"/>
      <c r="L532" s="6"/>
      <c r="M532" s="7"/>
      <c r="N532" s="7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4"/>
      <c r="I533" s="5"/>
      <c r="J533" s="2"/>
      <c r="K533" s="6"/>
      <c r="L533" s="6"/>
      <c r="M533" s="7"/>
      <c r="N533" s="7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4"/>
      <c r="I534" s="5"/>
      <c r="J534" s="2"/>
      <c r="K534" s="6"/>
      <c r="L534" s="6"/>
      <c r="M534" s="7"/>
      <c r="N534" s="7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4"/>
      <c r="I535" s="5"/>
      <c r="J535" s="2"/>
      <c r="K535" s="6"/>
      <c r="L535" s="6"/>
      <c r="M535" s="7"/>
      <c r="N535" s="7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4"/>
      <c r="I536" s="5"/>
      <c r="J536" s="2"/>
      <c r="K536" s="6"/>
      <c r="L536" s="6"/>
      <c r="M536" s="7"/>
      <c r="N536" s="7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4"/>
      <c r="I537" s="5"/>
      <c r="J537" s="2"/>
      <c r="K537" s="6"/>
      <c r="L537" s="6"/>
      <c r="M537" s="7"/>
      <c r="N537" s="7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4"/>
      <c r="I538" s="5"/>
      <c r="J538" s="2"/>
      <c r="K538" s="6"/>
      <c r="L538" s="6"/>
      <c r="M538" s="7"/>
      <c r="N538" s="7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4"/>
      <c r="I539" s="5"/>
      <c r="J539" s="2"/>
      <c r="K539" s="6"/>
      <c r="L539" s="6"/>
      <c r="M539" s="7"/>
      <c r="N539" s="7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4"/>
      <c r="I540" s="5"/>
      <c r="J540" s="2"/>
      <c r="K540" s="6"/>
      <c r="L540" s="6"/>
      <c r="M540" s="7"/>
      <c r="N540" s="7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4"/>
      <c r="I541" s="5"/>
      <c r="J541" s="2"/>
      <c r="K541" s="6"/>
      <c r="L541" s="6"/>
      <c r="M541" s="7"/>
      <c r="N541" s="7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4"/>
      <c r="I542" s="5"/>
      <c r="J542" s="2"/>
      <c r="K542" s="6"/>
      <c r="L542" s="6"/>
      <c r="M542" s="7"/>
      <c r="N542" s="7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4"/>
      <c r="I543" s="5"/>
      <c r="J543" s="2"/>
      <c r="K543" s="6"/>
      <c r="L543" s="6"/>
      <c r="M543" s="7"/>
      <c r="N543" s="7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4"/>
      <c r="I544" s="5"/>
      <c r="J544" s="2"/>
      <c r="K544" s="6"/>
      <c r="L544" s="6"/>
      <c r="M544" s="7"/>
      <c r="N544" s="7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4"/>
      <c r="I545" s="5"/>
      <c r="J545" s="2"/>
      <c r="K545" s="6"/>
      <c r="L545" s="6"/>
      <c r="M545" s="7"/>
      <c r="N545" s="7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4"/>
      <c r="I546" s="5"/>
      <c r="J546" s="2"/>
      <c r="K546" s="6"/>
      <c r="L546" s="6"/>
      <c r="M546" s="7"/>
      <c r="N546" s="7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4"/>
      <c r="I547" s="5"/>
      <c r="J547" s="2"/>
      <c r="K547" s="6"/>
      <c r="L547" s="6"/>
      <c r="M547" s="7"/>
      <c r="N547" s="7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4"/>
      <c r="I548" s="5"/>
      <c r="J548" s="2"/>
      <c r="K548" s="6"/>
      <c r="L548" s="6"/>
      <c r="M548" s="7"/>
      <c r="N548" s="7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4"/>
      <c r="I549" s="5"/>
      <c r="J549" s="2"/>
      <c r="K549" s="6"/>
      <c r="L549" s="6"/>
      <c r="M549" s="7"/>
      <c r="N549" s="7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4"/>
      <c r="I550" s="5"/>
      <c r="J550" s="2"/>
      <c r="K550" s="6"/>
      <c r="L550" s="6"/>
      <c r="M550" s="7"/>
      <c r="N550" s="7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4"/>
      <c r="I551" s="5"/>
      <c r="J551" s="2"/>
      <c r="K551" s="6"/>
      <c r="L551" s="6"/>
      <c r="M551" s="7"/>
      <c r="N551" s="7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4"/>
      <c r="I552" s="5"/>
      <c r="J552" s="2"/>
      <c r="K552" s="6"/>
      <c r="L552" s="6"/>
      <c r="M552" s="7"/>
      <c r="N552" s="7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4"/>
      <c r="I553" s="5"/>
      <c r="J553" s="2"/>
      <c r="K553" s="6"/>
      <c r="L553" s="6"/>
      <c r="M553" s="7"/>
      <c r="N553" s="7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4"/>
      <c r="I554" s="5"/>
      <c r="J554" s="2"/>
      <c r="K554" s="6"/>
      <c r="L554" s="6"/>
      <c r="M554" s="7"/>
      <c r="N554" s="7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4"/>
      <c r="I555" s="5"/>
      <c r="J555" s="2"/>
      <c r="K555" s="6"/>
      <c r="L555" s="6"/>
      <c r="M555" s="7"/>
      <c r="N555" s="7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4"/>
      <c r="I556" s="5"/>
      <c r="J556" s="2"/>
      <c r="K556" s="6"/>
      <c r="L556" s="6"/>
      <c r="M556" s="7"/>
      <c r="N556" s="7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4"/>
      <c r="I557" s="5"/>
      <c r="J557" s="2"/>
      <c r="K557" s="6"/>
      <c r="L557" s="6"/>
      <c r="M557" s="7"/>
      <c r="N557" s="7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4"/>
      <c r="I558" s="5"/>
      <c r="J558" s="2"/>
      <c r="K558" s="6"/>
      <c r="L558" s="6"/>
      <c r="M558" s="7"/>
      <c r="N558" s="7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4"/>
      <c r="I559" s="5"/>
      <c r="J559" s="2"/>
      <c r="K559" s="6"/>
      <c r="L559" s="6"/>
      <c r="M559" s="7"/>
      <c r="N559" s="7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4"/>
      <c r="I560" s="5"/>
      <c r="J560" s="2"/>
      <c r="K560" s="6"/>
      <c r="L560" s="6"/>
      <c r="M560" s="7"/>
      <c r="N560" s="7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4"/>
      <c r="I561" s="5"/>
      <c r="J561" s="2"/>
      <c r="K561" s="6"/>
      <c r="L561" s="6"/>
      <c r="M561" s="7"/>
      <c r="N561" s="7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4"/>
      <c r="I562" s="5"/>
      <c r="J562" s="2"/>
      <c r="K562" s="6"/>
      <c r="L562" s="6"/>
      <c r="M562" s="7"/>
      <c r="N562" s="7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4"/>
      <c r="I563" s="5"/>
      <c r="J563" s="2"/>
      <c r="K563" s="6"/>
      <c r="L563" s="6"/>
      <c r="M563" s="7"/>
      <c r="N563" s="7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4"/>
      <c r="I564" s="5"/>
      <c r="J564" s="2"/>
      <c r="K564" s="6"/>
      <c r="L564" s="6"/>
      <c r="M564" s="7"/>
      <c r="N564" s="7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4"/>
      <c r="I565" s="5"/>
      <c r="J565" s="2"/>
      <c r="K565" s="6"/>
      <c r="L565" s="6"/>
      <c r="M565" s="7"/>
      <c r="N565" s="7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4"/>
      <c r="I566" s="5"/>
      <c r="J566" s="2"/>
      <c r="K566" s="6"/>
      <c r="L566" s="6"/>
      <c r="M566" s="7"/>
      <c r="N566" s="7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4"/>
      <c r="I567" s="5"/>
      <c r="J567" s="2"/>
      <c r="K567" s="6"/>
      <c r="L567" s="6"/>
      <c r="M567" s="7"/>
      <c r="N567" s="7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4"/>
      <c r="I568" s="5"/>
      <c r="J568" s="2"/>
      <c r="K568" s="6"/>
      <c r="L568" s="6"/>
      <c r="M568" s="7"/>
      <c r="N568" s="7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4"/>
      <c r="I569" s="5"/>
      <c r="J569" s="2"/>
      <c r="K569" s="6"/>
      <c r="L569" s="6"/>
      <c r="M569" s="7"/>
      <c r="N569" s="7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4"/>
      <c r="I570" s="5"/>
      <c r="J570" s="2"/>
      <c r="K570" s="6"/>
      <c r="L570" s="6"/>
      <c r="M570" s="7"/>
      <c r="N570" s="7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4"/>
      <c r="I571" s="5"/>
      <c r="J571" s="2"/>
      <c r="K571" s="6"/>
      <c r="L571" s="6"/>
      <c r="M571" s="7"/>
      <c r="N571" s="7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4"/>
      <c r="I572" s="5"/>
      <c r="J572" s="2"/>
      <c r="K572" s="6"/>
      <c r="L572" s="6"/>
      <c r="M572" s="7"/>
      <c r="N572" s="7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4"/>
      <c r="I573" s="5"/>
      <c r="J573" s="2"/>
      <c r="K573" s="6"/>
      <c r="L573" s="6"/>
      <c r="M573" s="7"/>
      <c r="N573" s="7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4"/>
      <c r="I574" s="5"/>
      <c r="J574" s="2"/>
      <c r="K574" s="6"/>
      <c r="L574" s="6"/>
      <c r="M574" s="7"/>
      <c r="N574" s="7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4"/>
      <c r="I575" s="5"/>
      <c r="J575" s="2"/>
      <c r="K575" s="6"/>
      <c r="L575" s="6"/>
      <c r="M575" s="7"/>
      <c r="N575" s="7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4"/>
      <c r="I576" s="5"/>
      <c r="J576" s="2"/>
      <c r="K576" s="6"/>
      <c r="L576" s="6"/>
      <c r="M576" s="7"/>
      <c r="N576" s="7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4"/>
      <c r="I577" s="5"/>
      <c r="J577" s="2"/>
      <c r="K577" s="6"/>
      <c r="L577" s="6"/>
      <c r="M577" s="7"/>
      <c r="N577" s="7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4"/>
      <c r="I578" s="5"/>
      <c r="J578" s="2"/>
      <c r="K578" s="6"/>
      <c r="L578" s="6"/>
      <c r="M578" s="7"/>
      <c r="N578" s="7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4"/>
      <c r="I579" s="5"/>
      <c r="J579" s="2"/>
      <c r="K579" s="6"/>
      <c r="L579" s="6"/>
      <c r="M579" s="7"/>
      <c r="N579" s="7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4"/>
      <c r="I580" s="5"/>
      <c r="J580" s="2"/>
      <c r="K580" s="6"/>
      <c r="L580" s="6"/>
      <c r="M580" s="7"/>
      <c r="N580" s="7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4"/>
      <c r="I581" s="5"/>
      <c r="J581" s="2"/>
      <c r="K581" s="6"/>
      <c r="L581" s="6"/>
      <c r="M581" s="7"/>
      <c r="N581" s="7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4"/>
      <c r="I582" s="5"/>
      <c r="J582" s="2"/>
      <c r="K582" s="6"/>
      <c r="L582" s="6"/>
      <c r="M582" s="7"/>
      <c r="N582" s="7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4"/>
      <c r="I583" s="5"/>
      <c r="J583" s="2"/>
      <c r="K583" s="6"/>
      <c r="L583" s="6"/>
      <c r="M583" s="7"/>
      <c r="N583" s="7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4"/>
      <c r="I584" s="5"/>
      <c r="J584" s="2"/>
      <c r="K584" s="6"/>
      <c r="L584" s="6"/>
      <c r="M584" s="7"/>
      <c r="N584" s="7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4"/>
      <c r="I585" s="5"/>
      <c r="J585" s="2"/>
      <c r="K585" s="6"/>
      <c r="L585" s="6"/>
      <c r="M585" s="7"/>
      <c r="N585" s="7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4"/>
      <c r="I586" s="5"/>
      <c r="J586" s="2"/>
      <c r="K586" s="6"/>
      <c r="L586" s="6"/>
      <c r="M586" s="7"/>
      <c r="N586" s="7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4"/>
      <c r="I587" s="5"/>
      <c r="J587" s="2"/>
      <c r="K587" s="6"/>
      <c r="L587" s="6"/>
      <c r="M587" s="7"/>
      <c r="N587" s="7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4"/>
      <c r="I588" s="5"/>
      <c r="J588" s="2"/>
      <c r="K588" s="6"/>
      <c r="L588" s="6"/>
      <c r="M588" s="7"/>
      <c r="N588" s="7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4"/>
      <c r="I589" s="5"/>
      <c r="J589" s="2"/>
      <c r="K589" s="6"/>
      <c r="L589" s="6"/>
      <c r="M589" s="7"/>
      <c r="N589" s="7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4"/>
      <c r="I590" s="5"/>
      <c r="J590" s="2"/>
      <c r="K590" s="6"/>
      <c r="L590" s="6"/>
      <c r="M590" s="7"/>
      <c r="N590" s="7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4"/>
      <c r="I591" s="5"/>
      <c r="J591" s="2"/>
      <c r="K591" s="6"/>
      <c r="L591" s="6"/>
      <c r="M591" s="7"/>
      <c r="N591" s="7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4"/>
      <c r="I592" s="5"/>
      <c r="J592" s="2"/>
      <c r="K592" s="6"/>
      <c r="L592" s="6"/>
      <c r="M592" s="7"/>
      <c r="N592" s="7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4"/>
      <c r="I593" s="5"/>
      <c r="J593" s="2"/>
      <c r="K593" s="6"/>
      <c r="L593" s="6"/>
      <c r="M593" s="7"/>
      <c r="N593" s="7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4"/>
      <c r="I594" s="5"/>
      <c r="J594" s="2"/>
      <c r="K594" s="6"/>
      <c r="L594" s="6"/>
      <c r="M594" s="7"/>
      <c r="N594" s="7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4"/>
      <c r="I595" s="5"/>
      <c r="J595" s="2"/>
      <c r="K595" s="6"/>
      <c r="L595" s="6"/>
      <c r="M595" s="7"/>
      <c r="N595" s="7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4"/>
      <c r="I596" s="5"/>
      <c r="J596" s="2"/>
      <c r="K596" s="6"/>
      <c r="L596" s="6"/>
      <c r="M596" s="7"/>
      <c r="N596" s="7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4"/>
      <c r="I597" s="5"/>
      <c r="J597" s="2"/>
      <c r="K597" s="6"/>
      <c r="L597" s="6"/>
      <c r="M597" s="7"/>
      <c r="N597" s="7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4"/>
      <c r="I598" s="5"/>
      <c r="J598" s="2"/>
      <c r="K598" s="6"/>
      <c r="L598" s="6"/>
      <c r="M598" s="7"/>
      <c r="N598" s="7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4"/>
      <c r="I599" s="5"/>
      <c r="J599" s="2"/>
      <c r="K599" s="6"/>
      <c r="L599" s="6"/>
      <c r="M599" s="7"/>
      <c r="N599" s="7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4"/>
      <c r="I600" s="5"/>
      <c r="J600" s="2"/>
      <c r="K600" s="6"/>
      <c r="L600" s="6"/>
      <c r="M600" s="7"/>
      <c r="N600" s="7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4"/>
      <c r="I601" s="5"/>
      <c r="J601" s="2"/>
      <c r="K601" s="6"/>
      <c r="L601" s="6"/>
      <c r="M601" s="7"/>
      <c r="N601" s="7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4"/>
      <c r="I602" s="5"/>
      <c r="J602" s="2"/>
      <c r="K602" s="6"/>
      <c r="L602" s="6"/>
      <c r="M602" s="7"/>
      <c r="N602" s="7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4"/>
      <c r="I603" s="5"/>
      <c r="J603" s="2"/>
      <c r="K603" s="6"/>
      <c r="L603" s="6"/>
      <c r="M603" s="7"/>
      <c r="N603" s="7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4"/>
      <c r="I604" s="5"/>
      <c r="J604" s="2"/>
      <c r="K604" s="6"/>
      <c r="L604" s="6"/>
      <c r="M604" s="7"/>
      <c r="N604" s="7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4"/>
      <c r="I605" s="5"/>
      <c r="J605" s="2"/>
      <c r="K605" s="6"/>
      <c r="L605" s="6"/>
      <c r="M605" s="7"/>
      <c r="N605" s="7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4"/>
      <c r="I606" s="5"/>
      <c r="J606" s="2"/>
      <c r="K606" s="6"/>
      <c r="L606" s="6"/>
      <c r="M606" s="7"/>
      <c r="N606" s="7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4"/>
      <c r="I607" s="5"/>
      <c r="J607" s="2"/>
      <c r="K607" s="6"/>
      <c r="L607" s="6"/>
      <c r="M607" s="7"/>
      <c r="N607" s="7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4"/>
      <c r="I608" s="5"/>
      <c r="J608" s="2"/>
      <c r="K608" s="6"/>
      <c r="L608" s="6"/>
      <c r="M608" s="7"/>
      <c r="N608" s="7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4"/>
      <c r="I609" s="5"/>
      <c r="J609" s="2"/>
      <c r="K609" s="6"/>
      <c r="L609" s="6"/>
      <c r="M609" s="7"/>
      <c r="N609" s="7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4"/>
      <c r="I610" s="5"/>
      <c r="J610" s="2"/>
      <c r="K610" s="6"/>
      <c r="L610" s="6"/>
      <c r="M610" s="7"/>
      <c r="N610" s="7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4"/>
      <c r="I611" s="5"/>
      <c r="J611" s="2"/>
      <c r="K611" s="6"/>
      <c r="L611" s="6"/>
      <c r="M611" s="7"/>
      <c r="N611" s="7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4"/>
      <c r="I612" s="5"/>
      <c r="J612" s="2"/>
      <c r="K612" s="6"/>
      <c r="L612" s="6"/>
      <c r="M612" s="7"/>
      <c r="N612" s="7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4"/>
      <c r="I613" s="5"/>
      <c r="J613" s="2"/>
      <c r="K613" s="6"/>
      <c r="L613" s="6"/>
      <c r="M613" s="7"/>
      <c r="N613" s="7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4"/>
      <c r="I614" s="5"/>
      <c r="J614" s="2"/>
      <c r="K614" s="6"/>
      <c r="L614" s="6"/>
      <c r="M614" s="7"/>
      <c r="N614" s="7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4"/>
      <c r="I615" s="5"/>
      <c r="J615" s="2"/>
      <c r="K615" s="6"/>
      <c r="L615" s="6"/>
      <c r="M615" s="7"/>
      <c r="N615" s="7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4"/>
      <c r="I616" s="5"/>
      <c r="J616" s="2"/>
      <c r="K616" s="6"/>
      <c r="L616" s="6"/>
      <c r="M616" s="7"/>
      <c r="N616" s="7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4"/>
      <c r="I617" s="5"/>
      <c r="J617" s="2"/>
      <c r="K617" s="6"/>
      <c r="L617" s="6"/>
      <c r="M617" s="7"/>
      <c r="N617" s="7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4"/>
      <c r="I618" s="5"/>
      <c r="J618" s="2"/>
      <c r="K618" s="6"/>
      <c r="L618" s="6"/>
      <c r="M618" s="7"/>
      <c r="N618" s="7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4"/>
      <c r="I619" s="5"/>
      <c r="J619" s="2"/>
      <c r="K619" s="6"/>
      <c r="L619" s="6"/>
      <c r="M619" s="7"/>
      <c r="N619" s="7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4"/>
      <c r="I620" s="5"/>
      <c r="J620" s="2"/>
      <c r="K620" s="6"/>
      <c r="L620" s="6"/>
      <c r="M620" s="7"/>
      <c r="N620" s="7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4"/>
      <c r="I621" s="5"/>
      <c r="J621" s="2"/>
      <c r="K621" s="6"/>
      <c r="L621" s="6"/>
      <c r="M621" s="7"/>
      <c r="N621" s="7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4"/>
      <c r="I622" s="5"/>
      <c r="J622" s="2"/>
      <c r="K622" s="6"/>
      <c r="L622" s="6"/>
      <c r="M622" s="7"/>
      <c r="N622" s="7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4"/>
      <c r="I623" s="5"/>
      <c r="J623" s="2"/>
      <c r="K623" s="6"/>
      <c r="L623" s="6"/>
      <c r="M623" s="7"/>
      <c r="N623" s="7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4"/>
      <c r="I624" s="5"/>
      <c r="J624" s="2"/>
      <c r="K624" s="6"/>
      <c r="L624" s="6"/>
      <c r="M624" s="7"/>
      <c r="N624" s="7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4"/>
      <c r="I625" s="5"/>
      <c r="J625" s="2"/>
      <c r="K625" s="6"/>
      <c r="L625" s="6"/>
      <c r="M625" s="7"/>
      <c r="N625" s="7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4"/>
      <c r="I626" s="5"/>
      <c r="J626" s="2"/>
      <c r="K626" s="6"/>
      <c r="L626" s="6"/>
      <c r="M626" s="7"/>
      <c r="N626" s="7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4"/>
      <c r="I627" s="5"/>
      <c r="J627" s="2"/>
      <c r="K627" s="6"/>
      <c r="L627" s="6"/>
      <c r="M627" s="7"/>
      <c r="N627" s="7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4"/>
      <c r="I628" s="5"/>
      <c r="J628" s="2"/>
      <c r="K628" s="6"/>
      <c r="L628" s="6"/>
      <c r="M628" s="7"/>
      <c r="N628" s="7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4"/>
      <c r="I629" s="5"/>
      <c r="J629" s="2"/>
      <c r="K629" s="6"/>
      <c r="L629" s="6"/>
      <c r="M629" s="7"/>
      <c r="N629" s="7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4"/>
      <c r="I630" s="5"/>
      <c r="J630" s="2"/>
      <c r="K630" s="6"/>
      <c r="L630" s="6"/>
      <c r="M630" s="7"/>
      <c r="N630" s="7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4"/>
      <c r="I631" s="5"/>
      <c r="J631" s="2"/>
      <c r="K631" s="6"/>
      <c r="L631" s="6"/>
      <c r="M631" s="7"/>
      <c r="N631" s="7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4"/>
      <c r="I632" s="5"/>
      <c r="J632" s="2"/>
      <c r="K632" s="6"/>
      <c r="L632" s="6"/>
      <c r="M632" s="7"/>
      <c r="N632" s="7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4"/>
      <c r="I633" s="5"/>
      <c r="J633" s="2"/>
      <c r="K633" s="6"/>
      <c r="L633" s="6"/>
      <c r="M633" s="7"/>
      <c r="N633" s="7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4"/>
      <c r="I634" s="5"/>
      <c r="J634" s="2"/>
      <c r="K634" s="6"/>
      <c r="L634" s="6"/>
      <c r="M634" s="7"/>
      <c r="N634" s="7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4"/>
      <c r="I635" s="5"/>
      <c r="J635" s="2"/>
      <c r="K635" s="6"/>
      <c r="L635" s="6"/>
      <c r="M635" s="7"/>
      <c r="N635" s="7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4"/>
      <c r="I636" s="5"/>
      <c r="J636" s="2"/>
      <c r="K636" s="6"/>
      <c r="L636" s="6"/>
      <c r="M636" s="7"/>
      <c r="N636" s="7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4"/>
      <c r="I637" s="5"/>
      <c r="J637" s="2"/>
      <c r="K637" s="6"/>
      <c r="L637" s="6"/>
      <c r="M637" s="7"/>
      <c r="N637" s="7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4"/>
      <c r="I638" s="5"/>
      <c r="J638" s="2"/>
      <c r="K638" s="6"/>
      <c r="L638" s="6"/>
      <c r="M638" s="7"/>
      <c r="N638" s="7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4"/>
      <c r="I639" s="5"/>
      <c r="J639" s="2"/>
      <c r="K639" s="6"/>
      <c r="L639" s="6"/>
      <c r="M639" s="7"/>
      <c r="N639" s="7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4"/>
      <c r="I640" s="5"/>
      <c r="J640" s="2"/>
      <c r="K640" s="6"/>
      <c r="L640" s="6"/>
      <c r="M640" s="7"/>
      <c r="N640" s="7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4"/>
      <c r="I641" s="5"/>
      <c r="J641" s="2"/>
      <c r="K641" s="6"/>
      <c r="L641" s="6"/>
      <c r="M641" s="7"/>
      <c r="N641" s="7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4"/>
      <c r="I642" s="5"/>
      <c r="J642" s="2"/>
      <c r="K642" s="6"/>
      <c r="L642" s="6"/>
      <c r="M642" s="7"/>
      <c r="N642" s="7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4"/>
      <c r="I643" s="5"/>
      <c r="J643" s="2"/>
      <c r="K643" s="6"/>
      <c r="L643" s="6"/>
      <c r="M643" s="7"/>
      <c r="N643" s="7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4"/>
      <c r="I644" s="5"/>
      <c r="J644" s="2"/>
      <c r="K644" s="6"/>
      <c r="L644" s="6"/>
      <c r="M644" s="7"/>
      <c r="N644" s="7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4"/>
      <c r="I645" s="5"/>
      <c r="J645" s="2"/>
      <c r="K645" s="6"/>
      <c r="L645" s="6"/>
      <c r="M645" s="7"/>
      <c r="N645" s="7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4"/>
      <c r="I646" s="5"/>
      <c r="J646" s="2"/>
      <c r="K646" s="6"/>
      <c r="L646" s="6"/>
      <c r="M646" s="7"/>
      <c r="N646" s="7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4"/>
      <c r="I647" s="5"/>
      <c r="J647" s="2"/>
      <c r="K647" s="6"/>
      <c r="L647" s="6"/>
      <c r="M647" s="7"/>
      <c r="N647" s="7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4"/>
      <c r="I648" s="5"/>
      <c r="J648" s="2"/>
      <c r="K648" s="6"/>
      <c r="L648" s="6"/>
      <c r="M648" s="7"/>
      <c r="N648" s="7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4"/>
      <c r="I649" s="5"/>
      <c r="J649" s="2"/>
      <c r="K649" s="6"/>
      <c r="L649" s="6"/>
      <c r="M649" s="7"/>
      <c r="N649" s="7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4"/>
      <c r="I650" s="5"/>
      <c r="J650" s="2"/>
      <c r="K650" s="6"/>
      <c r="L650" s="6"/>
      <c r="M650" s="7"/>
      <c r="N650" s="7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4"/>
      <c r="I651" s="5"/>
      <c r="J651" s="2"/>
      <c r="K651" s="6"/>
      <c r="L651" s="6"/>
      <c r="M651" s="7"/>
      <c r="N651" s="7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4"/>
      <c r="I652" s="5"/>
      <c r="J652" s="2"/>
      <c r="K652" s="6"/>
      <c r="L652" s="6"/>
      <c r="M652" s="7"/>
      <c r="N652" s="7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4"/>
      <c r="I653" s="5"/>
      <c r="J653" s="2"/>
      <c r="K653" s="6"/>
      <c r="L653" s="6"/>
      <c r="M653" s="7"/>
      <c r="N653" s="7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4"/>
      <c r="I654" s="5"/>
      <c r="J654" s="2"/>
      <c r="K654" s="6"/>
      <c r="L654" s="6"/>
      <c r="M654" s="7"/>
      <c r="N654" s="7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4"/>
      <c r="I655" s="5"/>
      <c r="J655" s="2"/>
      <c r="K655" s="6"/>
      <c r="L655" s="6"/>
      <c r="M655" s="7"/>
      <c r="N655" s="7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4"/>
      <c r="I656" s="5"/>
      <c r="J656" s="2"/>
      <c r="K656" s="6"/>
      <c r="L656" s="6"/>
      <c r="M656" s="7"/>
      <c r="N656" s="7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4"/>
      <c r="I657" s="5"/>
      <c r="J657" s="2"/>
      <c r="K657" s="6"/>
      <c r="L657" s="6"/>
      <c r="M657" s="7"/>
      <c r="N657" s="7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4"/>
      <c r="I658" s="5"/>
      <c r="J658" s="2"/>
      <c r="K658" s="6"/>
      <c r="L658" s="6"/>
      <c r="M658" s="7"/>
      <c r="N658" s="7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4"/>
      <c r="I659" s="5"/>
      <c r="J659" s="2"/>
      <c r="K659" s="6"/>
      <c r="L659" s="6"/>
      <c r="M659" s="7"/>
      <c r="N659" s="7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4"/>
      <c r="I660" s="5"/>
      <c r="J660" s="2"/>
      <c r="K660" s="6"/>
      <c r="L660" s="6"/>
      <c r="M660" s="7"/>
      <c r="N660" s="7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4"/>
      <c r="I661" s="5"/>
      <c r="J661" s="2"/>
      <c r="K661" s="6"/>
      <c r="L661" s="6"/>
      <c r="M661" s="7"/>
      <c r="N661" s="7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4"/>
      <c r="I662" s="5"/>
      <c r="J662" s="2"/>
      <c r="K662" s="6"/>
      <c r="L662" s="6"/>
      <c r="M662" s="7"/>
      <c r="N662" s="7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4"/>
      <c r="I663" s="5"/>
      <c r="J663" s="2"/>
      <c r="K663" s="6"/>
      <c r="L663" s="6"/>
      <c r="M663" s="7"/>
      <c r="N663" s="7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4"/>
      <c r="I664" s="5"/>
      <c r="J664" s="2"/>
      <c r="K664" s="6"/>
      <c r="L664" s="6"/>
      <c r="M664" s="7"/>
      <c r="N664" s="7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4"/>
      <c r="I665" s="5"/>
      <c r="J665" s="2"/>
      <c r="K665" s="6"/>
      <c r="L665" s="6"/>
      <c r="M665" s="7"/>
      <c r="N665" s="7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4"/>
      <c r="I666" s="5"/>
      <c r="J666" s="2"/>
      <c r="K666" s="6"/>
      <c r="L666" s="6"/>
      <c r="M666" s="7"/>
      <c r="N666" s="7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4"/>
      <c r="I667" s="5"/>
      <c r="J667" s="2"/>
      <c r="K667" s="6"/>
      <c r="L667" s="6"/>
      <c r="M667" s="7"/>
      <c r="N667" s="7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4"/>
      <c r="I668" s="5"/>
      <c r="J668" s="2"/>
      <c r="K668" s="6"/>
      <c r="L668" s="6"/>
      <c r="M668" s="7"/>
      <c r="N668" s="7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4"/>
      <c r="I669" s="5"/>
      <c r="J669" s="2"/>
      <c r="K669" s="6"/>
      <c r="L669" s="6"/>
      <c r="M669" s="7"/>
      <c r="N669" s="7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4"/>
      <c r="I670" s="5"/>
      <c r="J670" s="2"/>
      <c r="K670" s="6"/>
      <c r="L670" s="6"/>
      <c r="M670" s="7"/>
      <c r="N670" s="7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4"/>
      <c r="I671" s="5"/>
      <c r="J671" s="2"/>
      <c r="K671" s="6"/>
      <c r="L671" s="6"/>
      <c r="M671" s="7"/>
      <c r="N671" s="7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4"/>
      <c r="I672" s="5"/>
      <c r="J672" s="2"/>
      <c r="K672" s="6"/>
      <c r="L672" s="6"/>
      <c r="M672" s="7"/>
      <c r="N672" s="7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4"/>
      <c r="I673" s="5"/>
      <c r="J673" s="2"/>
      <c r="K673" s="6"/>
      <c r="L673" s="6"/>
      <c r="M673" s="7"/>
      <c r="N673" s="7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4"/>
      <c r="I674" s="5"/>
      <c r="J674" s="2"/>
      <c r="K674" s="6"/>
      <c r="L674" s="6"/>
      <c r="M674" s="7"/>
      <c r="N674" s="7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4"/>
      <c r="I675" s="5"/>
      <c r="J675" s="2"/>
      <c r="K675" s="6"/>
      <c r="L675" s="6"/>
      <c r="M675" s="7"/>
      <c r="N675" s="7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4"/>
      <c r="I676" s="5"/>
      <c r="J676" s="2"/>
      <c r="K676" s="6"/>
      <c r="L676" s="6"/>
      <c r="M676" s="7"/>
      <c r="N676" s="7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4"/>
      <c r="I677" s="5"/>
      <c r="J677" s="2"/>
      <c r="K677" s="6"/>
      <c r="L677" s="6"/>
      <c r="M677" s="7"/>
      <c r="N677" s="7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4"/>
      <c r="I678" s="5"/>
      <c r="J678" s="2"/>
      <c r="K678" s="6"/>
      <c r="L678" s="6"/>
      <c r="M678" s="7"/>
      <c r="N678" s="7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4"/>
      <c r="I679" s="5"/>
      <c r="J679" s="2"/>
      <c r="K679" s="6"/>
      <c r="L679" s="6"/>
      <c r="M679" s="7"/>
      <c r="N679" s="7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4"/>
      <c r="I680" s="5"/>
      <c r="J680" s="2"/>
      <c r="K680" s="6"/>
      <c r="L680" s="6"/>
      <c r="M680" s="7"/>
      <c r="N680" s="7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4"/>
      <c r="I681" s="5"/>
      <c r="J681" s="2"/>
      <c r="K681" s="6"/>
      <c r="L681" s="6"/>
      <c r="M681" s="7"/>
      <c r="N681" s="7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4"/>
      <c r="I682" s="5"/>
      <c r="J682" s="2"/>
      <c r="K682" s="6"/>
      <c r="L682" s="6"/>
      <c r="M682" s="7"/>
      <c r="N682" s="7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4"/>
      <c r="I683" s="5"/>
      <c r="J683" s="2"/>
      <c r="K683" s="6"/>
      <c r="L683" s="6"/>
      <c r="M683" s="7"/>
      <c r="N683" s="7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4"/>
      <c r="I684" s="5"/>
      <c r="J684" s="2"/>
      <c r="K684" s="6"/>
      <c r="L684" s="6"/>
      <c r="M684" s="7"/>
      <c r="N684" s="7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4"/>
      <c r="I685" s="5"/>
      <c r="J685" s="2"/>
      <c r="K685" s="6"/>
      <c r="L685" s="6"/>
      <c r="M685" s="7"/>
      <c r="N685" s="7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4"/>
      <c r="I686" s="5"/>
      <c r="J686" s="2"/>
      <c r="K686" s="6"/>
      <c r="L686" s="6"/>
      <c r="M686" s="7"/>
      <c r="N686" s="7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4"/>
      <c r="I687" s="5"/>
      <c r="J687" s="2"/>
      <c r="K687" s="6"/>
      <c r="L687" s="6"/>
      <c r="M687" s="7"/>
      <c r="N687" s="7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4"/>
      <c r="I688" s="5"/>
      <c r="J688" s="2"/>
      <c r="K688" s="6"/>
      <c r="L688" s="6"/>
      <c r="M688" s="7"/>
      <c r="N688" s="7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4"/>
      <c r="I689" s="5"/>
      <c r="J689" s="2"/>
      <c r="K689" s="6"/>
      <c r="L689" s="6"/>
      <c r="M689" s="7"/>
      <c r="N689" s="7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4"/>
      <c r="I690" s="5"/>
      <c r="J690" s="2"/>
      <c r="K690" s="6"/>
      <c r="L690" s="6"/>
      <c r="M690" s="7"/>
      <c r="N690" s="7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4"/>
      <c r="I691" s="5"/>
      <c r="J691" s="2"/>
      <c r="K691" s="6"/>
      <c r="L691" s="6"/>
      <c r="M691" s="7"/>
      <c r="N691" s="7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4"/>
      <c r="I692" s="5"/>
      <c r="J692" s="2"/>
      <c r="K692" s="6"/>
      <c r="L692" s="6"/>
      <c r="M692" s="7"/>
      <c r="N692" s="7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4"/>
      <c r="I693" s="5"/>
      <c r="J693" s="2"/>
      <c r="K693" s="6"/>
      <c r="L693" s="6"/>
      <c r="M693" s="7"/>
      <c r="N693" s="7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4"/>
      <c r="I694" s="5"/>
      <c r="J694" s="2"/>
      <c r="K694" s="6"/>
      <c r="L694" s="6"/>
      <c r="M694" s="7"/>
      <c r="N694" s="7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4"/>
      <c r="I695" s="5"/>
      <c r="J695" s="2"/>
      <c r="K695" s="6"/>
      <c r="L695" s="6"/>
      <c r="M695" s="7"/>
      <c r="N695" s="7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4"/>
      <c r="I696" s="5"/>
      <c r="J696" s="2"/>
      <c r="K696" s="6"/>
      <c r="L696" s="6"/>
      <c r="M696" s="7"/>
      <c r="N696" s="7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4"/>
      <c r="I697" s="5"/>
      <c r="J697" s="2"/>
      <c r="K697" s="6"/>
      <c r="L697" s="6"/>
      <c r="M697" s="7"/>
      <c r="N697" s="7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4"/>
      <c r="I698" s="5"/>
      <c r="J698" s="2"/>
      <c r="K698" s="6"/>
      <c r="L698" s="6"/>
      <c r="M698" s="7"/>
      <c r="N698" s="7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4"/>
      <c r="I699" s="5"/>
      <c r="J699" s="2"/>
      <c r="K699" s="6"/>
      <c r="L699" s="6"/>
      <c r="M699" s="7"/>
      <c r="N699" s="7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4"/>
      <c r="I700" s="5"/>
      <c r="J700" s="2"/>
      <c r="K700" s="6"/>
      <c r="L700" s="6"/>
      <c r="M700" s="7"/>
      <c r="N700" s="7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4"/>
      <c r="I701" s="5"/>
      <c r="J701" s="2"/>
      <c r="K701" s="6"/>
      <c r="L701" s="6"/>
      <c r="M701" s="7"/>
      <c r="N701" s="7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4"/>
      <c r="I702" s="5"/>
      <c r="J702" s="2"/>
      <c r="K702" s="6"/>
      <c r="L702" s="6"/>
      <c r="M702" s="7"/>
      <c r="N702" s="7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4"/>
      <c r="I703" s="5"/>
      <c r="J703" s="2"/>
      <c r="K703" s="6"/>
      <c r="L703" s="6"/>
      <c r="M703" s="7"/>
      <c r="N703" s="7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4"/>
      <c r="I704" s="5"/>
      <c r="J704" s="2"/>
      <c r="K704" s="6"/>
      <c r="L704" s="6"/>
      <c r="M704" s="7"/>
      <c r="N704" s="7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4"/>
      <c r="I705" s="5"/>
      <c r="J705" s="2"/>
      <c r="K705" s="6"/>
      <c r="L705" s="6"/>
      <c r="M705" s="7"/>
      <c r="N705" s="7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4"/>
      <c r="I706" s="5"/>
      <c r="J706" s="2"/>
      <c r="K706" s="6"/>
      <c r="L706" s="6"/>
      <c r="M706" s="7"/>
      <c r="N706" s="7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4"/>
      <c r="I707" s="5"/>
      <c r="J707" s="2"/>
      <c r="K707" s="6"/>
      <c r="L707" s="6"/>
      <c r="M707" s="7"/>
      <c r="N707" s="7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4"/>
      <c r="I708" s="5"/>
      <c r="J708" s="2"/>
      <c r="K708" s="6"/>
      <c r="L708" s="6"/>
      <c r="M708" s="7"/>
      <c r="N708" s="7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4"/>
      <c r="I709" s="5"/>
      <c r="J709" s="2"/>
      <c r="K709" s="6"/>
      <c r="L709" s="6"/>
      <c r="M709" s="7"/>
      <c r="N709" s="7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4"/>
      <c r="I710" s="5"/>
      <c r="J710" s="2"/>
      <c r="K710" s="6"/>
      <c r="L710" s="6"/>
      <c r="M710" s="7"/>
      <c r="N710" s="7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4"/>
      <c r="I711" s="5"/>
      <c r="J711" s="2"/>
      <c r="K711" s="6"/>
      <c r="L711" s="6"/>
      <c r="M711" s="7"/>
      <c r="N711" s="7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4"/>
      <c r="I712" s="5"/>
      <c r="J712" s="2"/>
      <c r="K712" s="6"/>
      <c r="L712" s="6"/>
      <c r="M712" s="7"/>
      <c r="N712" s="7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4"/>
      <c r="I713" s="5"/>
      <c r="J713" s="2"/>
      <c r="K713" s="6"/>
      <c r="L713" s="6"/>
      <c r="M713" s="7"/>
      <c r="N713" s="7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4"/>
      <c r="I714" s="5"/>
      <c r="J714" s="2"/>
      <c r="K714" s="6"/>
      <c r="L714" s="6"/>
      <c r="M714" s="7"/>
      <c r="N714" s="7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4"/>
      <c r="I715" s="5"/>
      <c r="J715" s="2"/>
      <c r="K715" s="6"/>
      <c r="L715" s="6"/>
      <c r="M715" s="7"/>
      <c r="N715" s="7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4"/>
      <c r="I716" s="5"/>
      <c r="J716" s="2"/>
      <c r="K716" s="6"/>
      <c r="L716" s="6"/>
      <c r="M716" s="7"/>
      <c r="N716" s="7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4"/>
      <c r="I717" s="5"/>
      <c r="J717" s="2"/>
      <c r="K717" s="6"/>
      <c r="L717" s="6"/>
      <c r="M717" s="7"/>
      <c r="N717" s="7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4"/>
      <c r="I718" s="5"/>
      <c r="J718" s="2"/>
      <c r="K718" s="6"/>
      <c r="L718" s="6"/>
      <c r="M718" s="7"/>
      <c r="N718" s="7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4"/>
      <c r="I719" s="5"/>
      <c r="J719" s="2"/>
      <c r="K719" s="6"/>
      <c r="L719" s="6"/>
      <c r="M719" s="7"/>
      <c r="N719" s="7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4"/>
      <c r="I720" s="5"/>
      <c r="J720" s="2"/>
      <c r="K720" s="6"/>
      <c r="L720" s="6"/>
      <c r="M720" s="7"/>
      <c r="N720" s="7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4"/>
      <c r="I721" s="5"/>
      <c r="J721" s="2"/>
      <c r="K721" s="6"/>
      <c r="L721" s="6"/>
      <c r="M721" s="7"/>
      <c r="N721" s="7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4"/>
      <c r="I722" s="5"/>
      <c r="J722" s="2"/>
      <c r="K722" s="6"/>
      <c r="L722" s="6"/>
      <c r="M722" s="7"/>
      <c r="N722" s="7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4"/>
      <c r="I723" s="5"/>
      <c r="J723" s="2"/>
      <c r="K723" s="6"/>
      <c r="L723" s="6"/>
      <c r="M723" s="7"/>
      <c r="N723" s="7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4"/>
      <c r="I724" s="5"/>
      <c r="J724" s="2"/>
      <c r="K724" s="6"/>
      <c r="L724" s="6"/>
      <c r="M724" s="7"/>
      <c r="N724" s="7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4"/>
      <c r="I725" s="5"/>
      <c r="J725" s="2"/>
      <c r="K725" s="6"/>
      <c r="L725" s="6"/>
      <c r="M725" s="7"/>
      <c r="N725" s="7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4"/>
      <c r="I726" s="5"/>
      <c r="J726" s="2"/>
      <c r="K726" s="6"/>
      <c r="L726" s="6"/>
      <c r="M726" s="7"/>
      <c r="N726" s="7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4"/>
      <c r="I727" s="5"/>
      <c r="J727" s="2"/>
      <c r="K727" s="6"/>
      <c r="L727" s="6"/>
      <c r="M727" s="7"/>
      <c r="N727" s="7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4"/>
      <c r="I728" s="5"/>
      <c r="J728" s="2"/>
      <c r="K728" s="6"/>
      <c r="L728" s="6"/>
      <c r="M728" s="7"/>
      <c r="N728" s="7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4"/>
      <c r="I729" s="5"/>
      <c r="J729" s="2"/>
      <c r="K729" s="6"/>
      <c r="L729" s="6"/>
      <c r="M729" s="7"/>
      <c r="N729" s="7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4"/>
      <c r="I730" s="5"/>
      <c r="J730" s="2"/>
      <c r="K730" s="6"/>
      <c r="L730" s="6"/>
      <c r="M730" s="7"/>
      <c r="N730" s="7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4"/>
      <c r="I731" s="5"/>
      <c r="J731" s="2"/>
      <c r="K731" s="6"/>
      <c r="L731" s="6"/>
      <c r="M731" s="7"/>
      <c r="N731" s="7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4"/>
      <c r="I732" s="5"/>
      <c r="J732" s="2"/>
      <c r="K732" s="6"/>
      <c r="L732" s="6"/>
      <c r="M732" s="7"/>
      <c r="N732" s="7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4"/>
      <c r="I733" s="5"/>
      <c r="J733" s="2"/>
      <c r="K733" s="6"/>
      <c r="L733" s="6"/>
      <c r="M733" s="7"/>
      <c r="N733" s="7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4"/>
      <c r="I734" s="5"/>
      <c r="J734" s="2"/>
      <c r="K734" s="6"/>
      <c r="L734" s="6"/>
      <c r="M734" s="7"/>
      <c r="N734" s="7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4"/>
      <c r="I735" s="5"/>
      <c r="J735" s="2"/>
      <c r="K735" s="6"/>
      <c r="L735" s="6"/>
      <c r="M735" s="7"/>
      <c r="N735" s="7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4"/>
      <c r="I736" s="5"/>
      <c r="J736" s="2"/>
      <c r="K736" s="6"/>
      <c r="L736" s="6"/>
      <c r="M736" s="7"/>
      <c r="N736" s="7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4"/>
      <c r="I737" s="5"/>
      <c r="J737" s="2"/>
      <c r="K737" s="6"/>
      <c r="L737" s="6"/>
      <c r="M737" s="7"/>
      <c r="N737" s="7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4"/>
      <c r="I738" s="5"/>
      <c r="J738" s="2"/>
      <c r="K738" s="6"/>
      <c r="L738" s="6"/>
      <c r="M738" s="7"/>
      <c r="N738" s="7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4"/>
      <c r="I739" s="5"/>
      <c r="J739" s="2"/>
      <c r="K739" s="6"/>
      <c r="L739" s="6"/>
      <c r="M739" s="7"/>
      <c r="N739" s="7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4"/>
      <c r="I740" s="5"/>
      <c r="J740" s="2"/>
      <c r="K740" s="6"/>
      <c r="L740" s="6"/>
      <c r="M740" s="7"/>
      <c r="N740" s="7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4"/>
      <c r="I741" s="5"/>
      <c r="J741" s="2"/>
      <c r="K741" s="6"/>
      <c r="L741" s="6"/>
      <c r="M741" s="7"/>
      <c r="N741" s="7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4"/>
      <c r="I742" s="5"/>
      <c r="J742" s="2"/>
      <c r="K742" s="6"/>
      <c r="L742" s="6"/>
      <c r="M742" s="7"/>
      <c r="N742" s="7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4"/>
      <c r="I743" s="5"/>
      <c r="J743" s="2"/>
      <c r="K743" s="6"/>
      <c r="L743" s="6"/>
      <c r="M743" s="7"/>
      <c r="N743" s="7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4"/>
      <c r="I744" s="5"/>
      <c r="J744" s="2"/>
      <c r="K744" s="6"/>
      <c r="L744" s="6"/>
      <c r="M744" s="7"/>
      <c r="N744" s="7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4"/>
      <c r="I745" s="5"/>
      <c r="J745" s="2"/>
      <c r="K745" s="6"/>
      <c r="L745" s="6"/>
      <c r="M745" s="7"/>
      <c r="N745" s="7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4"/>
      <c r="I746" s="5"/>
      <c r="J746" s="2"/>
      <c r="K746" s="6"/>
      <c r="L746" s="6"/>
      <c r="M746" s="7"/>
      <c r="N746" s="7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4"/>
      <c r="I747" s="5"/>
      <c r="J747" s="2"/>
      <c r="K747" s="6"/>
      <c r="L747" s="6"/>
      <c r="M747" s="7"/>
      <c r="N747" s="7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4"/>
      <c r="I748" s="5"/>
      <c r="J748" s="2"/>
      <c r="K748" s="6"/>
      <c r="L748" s="6"/>
      <c r="M748" s="7"/>
      <c r="N748" s="7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4"/>
      <c r="I749" s="5"/>
      <c r="J749" s="2"/>
      <c r="K749" s="6"/>
      <c r="L749" s="6"/>
      <c r="M749" s="7"/>
      <c r="N749" s="7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4"/>
      <c r="I750" s="5"/>
      <c r="J750" s="2"/>
      <c r="K750" s="6"/>
      <c r="L750" s="6"/>
      <c r="M750" s="7"/>
      <c r="N750" s="7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4"/>
      <c r="I751" s="5"/>
      <c r="J751" s="2"/>
      <c r="K751" s="6"/>
      <c r="L751" s="6"/>
      <c r="M751" s="7"/>
      <c r="N751" s="7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4"/>
      <c r="I752" s="5"/>
      <c r="J752" s="2"/>
      <c r="K752" s="6"/>
      <c r="L752" s="6"/>
      <c r="M752" s="7"/>
      <c r="N752" s="7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4"/>
      <c r="I753" s="5"/>
      <c r="J753" s="2"/>
      <c r="K753" s="6"/>
      <c r="L753" s="6"/>
      <c r="M753" s="7"/>
      <c r="N753" s="7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4"/>
      <c r="I754" s="5"/>
      <c r="J754" s="2"/>
      <c r="K754" s="6"/>
      <c r="L754" s="6"/>
      <c r="M754" s="7"/>
      <c r="N754" s="7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4"/>
      <c r="I755" s="5"/>
      <c r="J755" s="2"/>
      <c r="K755" s="6"/>
      <c r="L755" s="6"/>
      <c r="M755" s="7"/>
      <c r="N755" s="7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4"/>
      <c r="I756" s="5"/>
      <c r="J756" s="2"/>
      <c r="K756" s="6"/>
      <c r="L756" s="6"/>
      <c r="M756" s="7"/>
      <c r="N756" s="7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4"/>
      <c r="I757" s="5"/>
      <c r="J757" s="2"/>
      <c r="K757" s="6"/>
      <c r="L757" s="6"/>
      <c r="M757" s="7"/>
      <c r="N757" s="7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4"/>
      <c r="I758" s="5"/>
      <c r="J758" s="2"/>
      <c r="K758" s="6"/>
      <c r="L758" s="6"/>
      <c r="M758" s="7"/>
      <c r="N758" s="7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4"/>
      <c r="I759" s="5"/>
      <c r="J759" s="2"/>
      <c r="K759" s="6"/>
      <c r="L759" s="6"/>
      <c r="M759" s="7"/>
      <c r="N759" s="7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4"/>
      <c r="I760" s="5"/>
      <c r="J760" s="2"/>
      <c r="K760" s="6"/>
      <c r="L760" s="6"/>
      <c r="M760" s="7"/>
      <c r="N760" s="7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4"/>
      <c r="I761" s="5"/>
      <c r="J761" s="2"/>
      <c r="K761" s="6"/>
      <c r="L761" s="6"/>
      <c r="M761" s="7"/>
      <c r="N761" s="7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4"/>
      <c r="I762" s="5"/>
      <c r="J762" s="2"/>
      <c r="K762" s="6"/>
      <c r="L762" s="6"/>
      <c r="M762" s="7"/>
      <c r="N762" s="7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4"/>
      <c r="I763" s="5"/>
      <c r="J763" s="2"/>
      <c r="K763" s="6"/>
      <c r="L763" s="6"/>
      <c r="M763" s="7"/>
      <c r="N763" s="7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4"/>
      <c r="I764" s="5"/>
      <c r="J764" s="2"/>
      <c r="K764" s="6"/>
      <c r="L764" s="6"/>
      <c r="M764" s="7"/>
      <c r="N764" s="7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4"/>
      <c r="I765" s="5"/>
      <c r="J765" s="2"/>
      <c r="K765" s="6"/>
      <c r="L765" s="6"/>
      <c r="M765" s="7"/>
      <c r="N765" s="7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4"/>
      <c r="I766" s="5"/>
      <c r="J766" s="2"/>
      <c r="K766" s="6"/>
      <c r="L766" s="6"/>
      <c r="M766" s="7"/>
      <c r="N766" s="7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4"/>
      <c r="I767" s="5"/>
      <c r="J767" s="2"/>
      <c r="K767" s="6"/>
      <c r="L767" s="6"/>
      <c r="M767" s="7"/>
      <c r="N767" s="7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4"/>
      <c r="I768" s="5"/>
      <c r="J768" s="2"/>
      <c r="K768" s="6"/>
      <c r="L768" s="6"/>
      <c r="M768" s="7"/>
      <c r="N768" s="7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4"/>
      <c r="I769" s="5"/>
      <c r="J769" s="2"/>
      <c r="K769" s="6"/>
      <c r="L769" s="6"/>
      <c r="M769" s="7"/>
      <c r="N769" s="7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4"/>
      <c r="I770" s="5"/>
      <c r="J770" s="2"/>
      <c r="K770" s="6"/>
      <c r="L770" s="6"/>
      <c r="M770" s="7"/>
      <c r="N770" s="7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4"/>
      <c r="I771" s="5"/>
      <c r="J771" s="2"/>
      <c r="K771" s="6"/>
      <c r="L771" s="6"/>
      <c r="M771" s="7"/>
      <c r="N771" s="7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4"/>
      <c r="I772" s="5"/>
      <c r="J772" s="2"/>
      <c r="K772" s="6"/>
      <c r="L772" s="6"/>
      <c r="M772" s="7"/>
      <c r="N772" s="7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4"/>
      <c r="I773" s="5"/>
      <c r="J773" s="2"/>
      <c r="K773" s="6"/>
      <c r="L773" s="6"/>
      <c r="M773" s="7"/>
      <c r="N773" s="7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4"/>
      <c r="I774" s="5"/>
      <c r="J774" s="2"/>
      <c r="K774" s="6"/>
      <c r="L774" s="6"/>
      <c r="M774" s="7"/>
      <c r="N774" s="7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4"/>
      <c r="I775" s="5"/>
      <c r="J775" s="2"/>
      <c r="K775" s="6"/>
      <c r="L775" s="6"/>
      <c r="M775" s="7"/>
      <c r="N775" s="7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4"/>
      <c r="I776" s="5"/>
      <c r="J776" s="2"/>
      <c r="K776" s="6"/>
      <c r="L776" s="6"/>
      <c r="M776" s="7"/>
      <c r="N776" s="7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4"/>
      <c r="I777" s="5"/>
      <c r="J777" s="2"/>
      <c r="K777" s="6"/>
      <c r="L777" s="6"/>
      <c r="M777" s="7"/>
      <c r="N777" s="7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4"/>
      <c r="I778" s="5"/>
      <c r="J778" s="2"/>
      <c r="K778" s="6"/>
      <c r="L778" s="6"/>
      <c r="M778" s="7"/>
      <c r="N778" s="7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4"/>
      <c r="I779" s="5"/>
      <c r="J779" s="2"/>
      <c r="K779" s="6"/>
      <c r="L779" s="6"/>
      <c r="M779" s="7"/>
      <c r="N779" s="7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4"/>
      <c r="I780" s="5"/>
      <c r="J780" s="2"/>
      <c r="K780" s="6"/>
      <c r="L780" s="6"/>
      <c r="M780" s="7"/>
      <c r="N780" s="7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4"/>
      <c r="I781" s="5"/>
      <c r="J781" s="2"/>
      <c r="K781" s="6"/>
      <c r="L781" s="6"/>
      <c r="M781" s="7"/>
      <c r="N781" s="7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4"/>
      <c r="I782" s="5"/>
      <c r="J782" s="2"/>
      <c r="K782" s="6"/>
      <c r="L782" s="6"/>
      <c r="M782" s="7"/>
      <c r="N782" s="7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4"/>
      <c r="I783" s="5"/>
      <c r="J783" s="2"/>
      <c r="K783" s="6"/>
      <c r="L783" s="6"/>
      <c r="M783" s="7"/>
      <c r="N783" s="7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4"/>
      <c r="I784" s="5"/>
      <c r="J784" s="2"/>
      <c r="K784" s="6"/>
      <c r="L784" s="6"/>
      <c r="M784" s="7"/>
      <c r="N784" s="7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4"/>
      <c r="I785" s="5"/>
      <c r="J785" s="2"/>
      <c r="K785" s="6"/>
      <c r="L785" s="6"/>
      <c r="M785" s="7"/>
      <c r="N785" s="7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4"/>
      <c r="I786" s="5"/>
      <c r="J786" s="2"/>
      <c r="K786" s="6"/>
      <c r="L786" s="6"/>
      <c r="M786" s="7"/>
      <c r="N786" s="7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4"/>
      <c r="I787" s="5"/>
      <c r="J787" s="2"/>
      <c r="K787" s="6"/>
      <c r="L787" s="6"/>
      <c r="M787" s="7"/>
      <c r="N787" s="7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4"/>
      <c r="I788" s="5"/>
      <c r="J788" s="2"/>
      <c r="K788" s="6"/>
      <c r="L788" s="6"/>
      <c r="M788" s="7"/>
      <c r="N788" s="7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4"/>
      <c r="I789" s="5"/>
      <c r="J789" s="2"/>
      <c r="K789" s="6"/>
      <c r="L789" s="6"/>
      <c r="M789" s="7"/>
      <c r="N789" s="7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4"/>
      <c r="I790" s="5"/>
      <c r="J790" s="2"/>
      <c r="K790" s="6"/>
      <c r="L790" s="6"/>
      <c r="M790" s="7"/>
      <c r="N790" s="7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4"/>
      <c r="I791" s="5"/>
      <c r="J791" s="2"/>
      <c r="K791" s="6"/>
      <c r="L791" s="6"/>
      <c r="M791" s="7"/>
      <c r="N791" s="7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4"/>
      <c r="I792" s="5"/>
      <c r="J792" s="2"/>
      <c r="K792" s="6"/>
      <c r="L792" s="6"/>
      <c r="M792" s="7"/>
      <c r="N792" s="7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4"/>
      <c r="I793" s="5"/>
      <c r="J793" s="2"/>
      <c r="K793" s="6"/>
      <c r="L793" s="6"/>
      <c r="M793" s="7"/>
      <c r="N793" s="7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4"/>
      <c r="I794" s="5"/>
      <c r="J794" s="2"/>
      <c r="K794" s="6"/>
      <c r="L794" s="6"/>
      <c r="M794" s="7"/>
      <c r="N794" s="7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4"/>
      <c r="I795" s="5"/>
      <c r="J795" s="2"/>
      <c r="K795" s="6"/>
      <c r="L795" s="6"/>
      <c r="M795" s="7"/>
      <c r="N795" s="7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4"/>
      <c r="I796" s="5"/>
      <c r="J796" s="2"/>
      <c r="K796" s="6"/>
      <c r="L796" s="6"/>
      <c r="M796" s="7"/>
      <c r="N796" s="7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4"/>
      <c r="I797" s="5"/>
      <c r="J797" s="2"/>
      <c r="K797" s="6"/>
      <c r="L797" s="6"/>
      <c r="M797" s="7"/>
      <c r="N797" s="7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4"/>
      <c r="I798" s="5"/>
      <c r="J798" s="2"/>
      <c r="K798" s="6"/>
      <c r="L798" s="6"/>
      <c r="M798" s="7"/>
      <c r="N798" s="7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4"/>
      <c r="I799" s="5"/>
      <c r="J799" s="2"/>
      <c r="K799" s="6"/>
      <c r="L799" s="6"/>
      <c r="M799" s="7"/>
      <c r="N799" s="7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4"/>
      <c r="I800" s="5"/>
      <c r="J800" s="2"/>
      <c r="K800" s="6"/>
      <c r="L800" s="6"/>
      <c r="M800" s="7"/>
      <c r="N800" s="7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4"/>
      <c r="I801" s="5"/>
      <c r="J801" s="2"/>
      <c r="K801" s="6"/>
      <c r="L801" s="6"/>
      <c r="M801" s="7"/>
      <c r="N801" s="7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4"/>
      <c r="I802" s="5"/>
      <c r="J802" s="2"/>
      <c r="K802" s="6"/>
      <c r="L802" s="6"/>
      <c r="M802" s="7"/>
      <c r="N802" s="7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4"/>
      <c r="I803" s="5"/>
      <c r="J803" s="2"/>
      <c r="K803" s="6"/>
      <c r="L803" s="6"/>
      <c r="M803" s="7"/>
      <c r="N803" s="7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4"/>
      <c r="I804" s="5"/>
      <c r="J804" s="2"/>
      <c r="K804" s="6"/>
      <c r="L804" s="6"/>
      <c r="M804" s="7"/>
      <c r="N804" s="7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4"/>
      <c r="I805" s="5"/>
      <c r="J805" s="2"/>
      <c r="K805" s="6"/>
      <c r="L805" s="6"/>
      <c r="M805" s="7"/>
      <c r="N805" s="7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4"/>
      <c r="I806" s="5"/>
      <c r="J806" s="2"/>
      <c r="K806" s="6"/>
      <c r="L806" s="6"/>
      <c r="M806" s="7"/>
      <c r="N806" s="7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4"/>
      <c r="I807" s="5"/>
      <c r="J807" s="2"/>
      <c r="K807" s="6"/>
      <c r="L807" s="6"/>
      <c r="M807" s="7"/>
      <c r="N807" s="7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4"/>
      <c r="I808" s="5"/>
      <c r="J808" s="2"/>
      <c r="K808" s="6"/>
      <c r="L808" s="6"/>
      <c r="M808" s="7"/>
      <c r="N808" s="7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4"/>
      <c r="I809" s="5"/>
      <c r="J809" s="2"/>
      <c r="K809" s="6"/>
      <c r="L809" s="6"/>
      <c r="M809" s="7"/>
      <c r="N809" s="7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4"/>
      <c r="I810" s="5"/>
      <c r="J810" s="2"/>
      <c r="K810" s="6"/>
      <c r="L810" s="6"/>
      <c r="M810" s="7"/>
      <c r="N810" s="7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4"/>
      <c r="I811" s="5"/>
      <c r="J811" s="2"/>
      <c r="K811" s="6"/>
      <c r="L811" s="6"/>
      <c r="M811" s="7"/>
      <c r="N811" s="7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4"/>
      <c r="I812" s="5"/>
      <c r="J812" s="2"/>
      <c r="K812" s="6"/>
      <c r="L812" s="6"/>
      <c r="M812" s="7"/>
      <c r="N812" s="7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4"/>
      <c r="I813" s="5"/>
      <c r="J813" s="2"/>
      <c r="K813" s="6"/>
      <c r="L813" s="6"/>
      <c r="M813" s="7"/>
      <c r="N813" s="7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4"/>
      <c r="I814" s="5"/>
      <c r="J814" s="2"/>
      <c r="K814" s="6"/>
      <c r="L814" s="6"/>
      <c r="M814" s="7"/>
      <c r="N814" s="7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4"/>
      <c r="I815" s="5"/>
      <c r="J815" s="2"/>
      <c r="K815" s="6"/>
      <c r="L815" s="6"/>
      <c r="M815" s="7"/>
      <c r="N815" s="7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4"/>
      <c r="I816" s="5"/>
      <c r="J816" s="2"/>
      <c r="K816" s="6"/>
      <c r="L816" s="6"/>
      <c r="M816" s="7"/>
      <c r="N816" s="7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4"/>
      <c r="I817" s="5"/>
      <c r="J817" s="2"/>
      <c r="K817" s="6"/>
      <c r="L817" s="6"/>
      <c r="M817" s="7"/>
      <c r="N817" s="7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4"/>
      <c r="I818" s="5"/>
      <c r="J818" s="2"/>
      <c r="K818" s="6"/>
      <c r="L818" s="6"/>
      <c r="M818" s="7"/>
      <c r="N818" s="7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4"/>
      <c r="I819" s="5"/>
      <c r="J819" s="2"/>
      <c r="K819" s="6"/>
      <c r="L819" s="6"/>
      <c r="M819" s="7"/>
      <c r="N819" s="7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4"/>
      <c r="I820" s="5"/>
      <c r="J820" s="2"/>
      <c r="K820" s="6"/>
      <c r="L820" s="6"/>
      <c r="M820" s="7"/>
      <c r="N820" s="7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4"/>
      <c r="I821" s="5"/>
      <c r="J821" s="2"/>
      <c r="K821" s="6"/>
      <c r="L821" s="6"/>
      <c r="M821" s="7"/>
      <c r="N821" s="7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4"/>
      <c r="I822" s="5"/>
      <c r="J822" s="2"/>
      <c r="K822" s="6"/>
      <c r="L822" s="6"/>
      <c r="M822" s="7"/>
      <c r="N822" s="7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4"/>
      <c r="I823" s="5"/>
      <c r="J823" s="2"/>
      <c r="K823" s="6"/>
      <c r="L823" s="6"/>
      <c r="M823" s="7"/>
      <c r="N823" s="7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4"/>
      <c r="I824" s="5"/>
      <c r="J824" s="2"/>
      <c r="K824" s="6"/>
      <c r="L824" s="6"/>
      <c r="M824" s="7"/>
      <c r="N824" s="7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4"/>
      <c r="I825" s="5"/>
      <c r="J825" s="2"/>
      <c r="K825" s="6"/>
      <c r="L825" s="6"/>
      <c r="M825" s="7"/>
      <c r="N825" s="7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4"/>
      <c r="I826" s="5"/>
      <c r="J826" s="2"/>
      <c r="K826" s="6"/>
      <c r="L826" s="6"/>
      <c r="M826" s="7"/>
      <c r="N826" s="7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4"/>
      <c r="I827" s="5"/>
      <c r="J827" s="2"/>
      <c r="K827" s="6"/>
      <c r="L827" s="6"/>
      <c r="M827" s="7"/>
      <c r="N827" s="7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4"/>
      <c r="I828" s="5"/>
      <c r="J828" s="2"/>
      <c r="K828" s="6"/>
      <c r="L828" s="6"/>
      <c r="M828" s="7"/>
      <c r="N828" s="7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4"/>
      <c r="I829" s="5"/>
      <c r="J829" s="2"/>
      <c r="K829" s="6"/>
      <c r="L829" s="6"/>
      <c r="M829" s="7"/>
      <c r="N829" s="7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4"/>
      <c r="I830" s="5"/>
      <c r="J830" s="2"/>
      <c r="K830" s="6"/>
      <c r="L830" s="6"/>
      <c r="M830" s="7"/>
      <c r="N830" s="7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4"/>
      <c r="I831" s="5"/>
      <c r="J831" s="2"/>
      <c r="K831" s="6"/>
      <c r="L831" s="6"/>
      <c r="M831" s="7"/>
      <c r="N831" s="7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4"/>
      <c r="I832" s="5"/>
      <c r="J832" s="2"/>
      <c r="K832" s="6"/>
      <c r="L832" s="6"/>
      <c r="M832" s="7"/>
      <c r="N832" s="7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4"/>
      <c r="I833" s="5"/>
      <c r="J833" s="2"/>
      <c r="K833" s="6"/>
      <c r="L833" s="6"/>
      <c r="M833" s="7"/>
      <c r="N833" s="7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4"/>
      <c r="I834" s="5"/>
      <c r="J834" s="2"/>
      <c r="K834" s="6"/>
      <c r="L834" s="6"/>
      <c r="M834" s="7"/>
      <c r="N834" s="7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4"/>
      <c r="I835" s="5"/>
      <c r="J835" s="2"/>
      <c r="K835" s="6"/>
      <c r="L835" s="6"/>
      <c r="M835" s="7"/>
      <c r="N835" s="7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4"/>
      <c r="I836" s="5"/>
      <c r="J836" s="2"/>
      <c r="K836" s="6"/>
      <c r="L836" s="6"/>
      <c r="M836" s="7"/>
      <c r="N836" s="7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4"/>
      <c r="I837" s="5"/>
      <c r="J837" s="2"/>
      <c r="K837" s="6"/>
      <c r="L837" s="6"/>
      <c r="M837" s="7"/>
      <c r="N837" s="7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4"/>
      <c r="I838" s="5"/>
      <c r="J838" s="2"/>
      <c r="K838" s="6"/>
      <c r="L838" s="6"/>
      <c r="M838" s="7"/>
      <c r="N838" s="7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4"/>
      <c r="I839" s="5"/>
      <c r="J839" s="2"/>
      <c r="K839" s="6"/>
      <c r="L839" s="6"/>
      <c r="M839" s="7"/>
      <c r="N839" s="7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4"/>
      <c r="I840" s="5"/>
      <c r="J840" s="2"/>
      <c r="K840" s="6"/>
      <c r="L840" s="6"/>
      <c r="M840" s="7"/>
      <c r="N840" s="7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4"/>
      <c r="I841" s="5"/>
      <c r="J841" s="2"/>
      <c r="K841" s="6"/>
      <c r="L841" s="6"/>
      <c r="M841" s="7"/>
      <c r="N841" s="7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4"/>
      <c r="I842" s="5"/>
      <c r="J842" s="2"/>
      <c r="K842" s="6"/>
      <c r="L842" s="6"/>
      <c r="M842" s="7"/>
      <c r="N842" s="7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4"/>
      <c r="I843" s="5"/>
      <c r="J843" s="2"/>
      <c r="K843" s="6"/>
      <c r="L843" s="6"/>
      <c r="M843" s="7"/>
      <c r="N843" s="7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4"/>
      <c r="I844" s="5"/>
      <c r="J844" s="2"/>
      <c r="K844" s="6"/>
      <c r="L844" s="6"/>
      <c r="M844" s="7"/>
      <c r="N844" s="7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4"/>
      <c r="I845" s="5"/>
      <c r="J845" s="2"/>
      <c r="K845" s="6"/>
      <c r="L845" s="6"/>
      <c r="M845" s="7"/>
      <c r="N845" s="7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4"/>
      <c r="I846" s="5"/>
      <c r="J846" s="2"/>
      <c r="K846" s="6"/>
      <c r="L846" s="6"/>
      <c r="M846" s="7"/>
      <c r="N846" s="7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4"/>
      <c r="I847" s="5"/>
      <c r="J847" s="2"/>
      <c r="K847" s="6"/>
      <c r="L847" s="6"/>
      <c r="M847" s="7"/>
      <c r="N847" s="7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4"/>
      <c r="I848" s="5"/>
      <c r="J848" s="2"/>
      <c r="K848" s="6"/>
      <c r="L848" s="6"/>
      <c r="M848" s="7"/>
      <c r="N848" s="7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4"/>
      <c r="I849" s="5"/>
      <c r="J849" s="2"/>
      <c r="K849" s="6"/>
      <c r="L849" s="6"/>
      <c r="M849" s="7"/>
      <c r="N849" s="7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4"/>
      <c r="I850" s="5"/>
      <c r="J850" s="2"/>
      <c r="K850" s="6"/>
      <c r="L850" s="6"/>
      <c r="M850" s="7"/>
      <c r="N850" s="7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4"/>
      <c r="I851" s="5"/>
      <c r="J851" s="2"/>
      <c r="K851" s="6"/>
      <c r="L851" s="6"/>
      <c r="M851" s="7"/>
      <c r="N851" s="7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4"/>
      <c r="I852" s="5"/>
      <c r="J852" s="2"/>
      <c r="K852" s="6"/>
      <c r="L852" s="6"/>
      <c r="M852" s="7"/>
      <c r="N852" s="7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4"/>
      <c r="I853" s="5"/>
      <c r="J853" s="2"/>
      <c r="K853" s="6"/>
      <c r="L853" s="6"/>
      <c r="M853" s="7"/>
      <c r="N853" s="7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4"/>
      <c r="I854" s="5"/>
      <c r="J854" s="2"/>
      <c r="K854" s="6"/>
      <c r="L854" s="6"/>
      <c r="M854" s="7"/>
      <c r="N854" s="7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4"/>
      <c r="I855" s="5"/>
      <c r="J855" s="2"/>
      <c r="K855" s="6"/>
      <c r="L855" s="6"/>
      <c r="M855" s="7"/>
      <c r="N855" s="7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4"/>
      <c r="I856" s="5"/>
      <c r="J856" s="2"/>
      <c r="K856" s="6"/>
      <c r="L856" s="6"/>
      <c r="M856" s="7"/>
      <c r="N856" s="7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4"/>
      <c r="I857" s="5"/>
      <c r="J857" s="2"/>
      <c r="K857" s="6"/>
      <c r="L857" s="6"/>
      <c r="M857" s="7"/>
      <c r="N857" s="7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4"/>
      <c r="I858" s="5"/>
      <c r="J858" s="2"/>
      <c r="K858" s="6"/>
      <c r="L858" s="6"/>
      <c r="M858" s="7"/>
      <c r="N858" s="7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4"/>
      <c r="I859" s="5"/>
      <c r="J859" s="2"/>
      <c r="K859" s="6"/>
      <c r="L859" s="6"/>
      <c r="M859" s="7"/>
      <c r="N859" s="7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4"/>
      <c r="I860" s="5"/>
      <c r="J860" s="2"/>
      <c r="K860" s="6"/>
      <c r="L860" s="6"/>
      <c r="M860" s="7"/>
      <c r="N860" s="7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4"/>
      <c r="I861" s="5"/>
      <c r="J861" s="2"/>
      <c r="K861" s="6"/>
      <c r="L861" s="6"/>
      <c r="M861" s="7"/>
      <c r="N861" s="7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4"/>
      <c r="I862" s="5"/>
      <c r="J862" s="2"/>
      <c r="K862" s="6"/>
      <c r="L862" s="6"/>
      <c r="M862" s="7"/>
      <c r="N862" s="7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4"/>
      <c r="I863" s="5"/>
      <c r="J863" s="2"/>
      <c r="K863" s="6"/>
      <c r="L863" s="6"/>
      <c r="M863" s="7"/>
      <c r="N863" s="7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4"/>
      <c r="I864" s="5"/>
      <c r="J864" s="2"/>
      <c r="K864" s="6"/>
      <c r="L864" s="6"/>
      <c r="M864" s="7"/>
      <c r="N864" s="7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4"/>
      <c r="I865" s="5"/>
      <c r="J865" s="2"/>
      <c r="K865" s="6"/>
      <c r="L865" s="6"/>
      <c r="M865" s="7"/>
      <c r="N865" s="7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4"/>
      <c r="I866" s="5"/>
      <c r="J866" s="2"/>
      <c r="K866" s="6"/>
      <c r="L866" s="6"/>
      <c r="M866" s="7"/>
      <c r="N866" s="7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4"/>
      <c r="I867" s="5"/>
      <c r="J867" s="2"/>
      <c r="K867" s="6"/>
      <c r="L867" s="6"/>
      <c r="M867" s="7"/>
      <c r="N867" s="7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4"/>
      <c r="I868" s="5"/>
      <c r="J868" s="2"/>
      <c r="K868" s="6"/>
      <c r="L868" s="6"/>
      <c r="M868" s="7"/>
      <c r="N868" s="7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4"/>
      <c r="I869" s="5"/>
      <c r="J869" s="2"/>
      <c r="K869" s="6"/>
      <c r="L869" s="6"/>
      <c r="M869" s="7"/>
      <c r="N869" s="7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4"/>
      <c r="I870" s="5"/>
      <c r="J870" s="2"/>
      <c r="K870" s="6"/>
      <c r="L870" s="6"/>
      <c r="M870" s="7"/>
      <c r="N870" s="7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4"/>
      <c r="I871" s="5"/>
      <c r="J871" s="2"/>
      <c r="K871" s="6"/>
      <c r="L871" s="6"/>
      <c r="M871" s="7"/>
      <c r="N871" s="7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4"/>
      <c r="I872" s="5"/>
      <c r="J872" s="2"/>
      <c r="K872" s="6"/>
      <c r="L872" s="6"/>
      <c r="M872" s="7"/>
      <c r="N872" s="7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4"/>
      <c r="I873" s="5"/>
      <c r="J873" s="2"/>
      <c r="K873" s="6"/>
      <c r="L873" s="6"/>
      <c r="M873" s="7"/>
      <c r="N873" s="7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4"/>
      <c r="I874" s="5"/>
      <c r="J874" s="2"/>
      <c r="K874" s="6"/>
      <c r="L874" s="6"/>
      <c r="M874" s="7"/>
      <c r="N874" s="7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4"/>
      <c r="I875" s="5"/>
      <c r="J875" s="2"/>
      <c r="K875" s="6"/>
      <c r="L875" s="6"/>
      <c r="M875" s="7"/>
      <c r="N875" s="7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4"/>
      <c r="I876" s="5"/>
      <c r="J876" s="2"/>
      <c r="K876" s="6"/>
      <c r="L876" s="6"/>
      <c r="M876" s="7"/>
      <c r="N876" s="7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4"/>
      <c r="I877" s="5"/>
      <c r="J877" s="2"/>
      <c r="K877" s="6"/>
      <c r="L877" s="6"/>
      <c r="M877" s="7"/>
      <c r="N877" s="7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4"/>
      <c r="I878" s="5"/>
      <c r="J878" s="2"/>
      <c r="K878" s="6"/>
      <c r="L878" s="6"/>
      <c r="M878" s="7"/>
      <c r="N878" s="7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4"/>
      <c r="I879" s="5"/>
      <c r="J879" s="2"/>
      <c r="K879" s="6"/>
      <c r="L879" s="6"/>
      <c r="M879" s="7"/>
      <c r="N879" s="7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4"/>
      <c r="I880" s="5"/>
      <c r="J880" s="2"/>
      <c r="K880" s="6"/>
      <c r="L880" s="6"/>
      <c r="M880" s="7"/>
      <c r="N880" s="7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4"/>
      <c r="I881" s="5"/>
      <c r="J881" s="2"/>
      <c r="K881" s="6"/>
      <c r="L881" s="6"/>
      <c r="M881" s="7"/>
      <c r="N881" s="7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4"/>
      <c r="I882" s="5"/>
      <c r="J882" s="2"/>
      <c r="K882" s="6"/>
      <c r="L882" s="6"/>
      <c r="M882" s="7"/>
      <c r="N882" s="7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4"/>
      <c r="I883" s="5"/>
      <c r="J883" s="2"/>
      <c r="K883" s="6"/>
      <c r="L883" s="6"/>
      <c r="M883" s="7"/>
      <c r="N883" s="7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4"/>
      <c r="I884" s="5"/>
      <c r="J884" s="2"/>
      <c r="K884" s="6"/>
      <c r="L884" s="6"/>
      <c r="M884" s="7"/>
      <c r="N884" s="7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4"/>
      <c r="I885" s="5"/>
      <c r="J885" s="2"/>
      <c r="K885" s="6"/>
      <c r="L885" s="6"/>
      <c r="M885" s="7"/>
      <c r="N885" s="7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4"/>
      <c r="I886" s="5"/>
      <c r="J886" s="2"/>
      <c r="K886" s="6"/>
      <c r="L886" s="6"/>
      <c r="M886" s="7"/>
      <c r="N886" s="7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4"/>
      <c r="I887" s="5"/>
      <c r="J887" s="2"/>
      <c r="K887" s="6"/>
      <c r="L887" s="6"/>
      <c r="M887" s="7"/>
      <c r="N887" s="7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4"/>
      <c r="I888" s="5"/>
      <c r="J888" s="2"/>
      <c r="K888" s="6"/>
      <c r="L888" s="6"/>
      <c r="M888" s="7"/>
      <c r="N888" s="7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4"/>
      <c r="I889" s="5"/>
      <c r="J889" s="2"/>
      <c r="K889" s="6"/>
      <c r="L889" s="6"/>
      <c r="M889" s="7"/>
      <c r="N889" s="7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4"/>
      <c r="I890" s="5"/>
      <c r="J890" s="2"/>
      <c r="K890" s="6"/>
      <c r="L890" s="6"/>
      <c r="M890" s="7"/>
      <c r="N890" s="7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4"/>
      <c r="I891" s="5"/>
      <c r="J891" s="2"/>
      <c r="K891" s="6"/>
      <c r="L891" s="6"/>
      <c r="M891" s="7"/>
      <c r="N891" s="7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4"/>
      <c r="I892" s="5"/>
      <c r="J892" s="2"/>
      <c r="K892" s="6"/>
      <c r="L892" s="6"/>
      <c r="M892" s="7"/>
      <c r="N892" s="7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4"/>
      <c r="I893" s="5"/>
      <c r="J893" s="2"/>
      <c r="K893" s="6"/>
      <c r="L893" s="6"/>
      <c r="M893" s="7"/>
      <c r="N893" s="7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4"/>
      <c r="I894" s="5"/>
      <c r="J894" s="2"/>
      <c r="K894" s="6"/>
      <c r="L894" s="6"/>
      <c r="M894" s="7"/>
      <c r="N894" s="7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4"/>
      <c r="I895" s="5"/>
      <c r="J895" s="2"/>
      <c r="K895" s="6"/>
      <c r="L895" s="6"/>
      <c r="M895" s="7"/>
      <c r="N895" s="7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4"/>
      <c r="I896" s="5"/>
      <c r="J896" s="2"/>
      <c r="K896" s="6"/>
      <c r="L896" s="6"/>
      <c r="M896" s="7"/>
      <c r="N896" s="7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4"/>
      <c r="I897" s="5"/>
      <c r="J897" s="2"/>
      <c r="K897" s="6"/>
      <c r="L897" s="6"/>
      <c r="M897" s="7"/>
      <c r="N897" s="7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4"/>
      <c r="I898" s="5"/>
      <c r="J898" s="2"/>
      <c r="K898" s="6"/>
      <c r="L898" s="6"/>
      <c r="M898" s="7"/>
      <c r="N898" s="7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4"/>
      <c r="I899" s="5"/>
      <c r="J899" s="2"/>
      <c r="K899" s="6"/>
      <c r="L899" s="6"/>
      <c r="M899" s="7"/>
      <c r="N899" s="7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4"/>
      <c r="I900" s="5"/>
      <c r="J900" s="2"/>
      <c r="K900" s="6"/>
      <c r="L900" s="6"/>
      <c r="M900" s="7"/>
      <c r="N900" s="7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4"/>
      <c r="I901" s="5"/>
      <c r="J901" s="2"/>
      <c r="K901" s="6"/>
      <c r="L901" s="6"/>
      <c r="M901" s="7"/>
      <c r="N901" s="7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4"/>
      <c r="I902" s="5"/>
      <c r="J902" s="2"/>
      <c r="K902" s="6"/>
      <c r="L902" s="6"/>
      <c r="M902" s="7"/>
      <c r="N902" s="7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4"/>
      <c r="I903" s="5"/>
      <c r="J903" s="2"/>
      <c r="K903" s="6"/>
      <c r="L903" s="6"/>
      <c r="M903" s="7"/>
      <c r="N903" s="7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4"/>
      <c r="I904" s="5"/>
      <c r="J904" s="2"/>
      <c r="K904" s="6"/>
      <c r="L904" s="6"/>
      <c r="M904" s="7"/>
      <c r="N904" s="7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4"/>
      <c r="I905" s="5"/>
      <c r="J905" s="2"/>
      <c r="K905" s="6"/>
      <c r="L905" s="6"/>
      <c r="M905" s="7"/>
      <c r="N905" s="7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4"/>
      <c r="I906" s="5"/>
      <c r="J906" s="2"/>
      <c r="K906" s="6"/>
      <c r="L906" s="6"/>
      <c r="M906" s="7"/>
      <c r="N906" s="7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4"/>
      <c r="I907" s="5"/>
      <c r="J907" s="2"/>
      <c r="K907" s="6"/>
      <c r="L907" s="6"/>
      <c r="M907" s="7"/>
      <c r="N907" s="7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4"/>
      <c r="I908" s="5"/>
      <c r="J908" s="2"/>
      <c r="K908" s="6"/>
      <c r="L908" s="6"/>
      <c r="M908" s="7"/>
      <c r="N908" s="7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4"/>
      <c r="I909" s="5"/>
      <c r="J909" s="2"/>
      <c r="K909" s="6"/>
      <c r="L909" s="6"/>
      <c r="M909" s="7"/>
      <c r="N909" s="7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4"/>
      <c r="I910" s="5"/>
      <c r="J910" s="2"/>
      <c r="K910" s="6"/>
      <c r="L910" s="6"/>
      <c r="M910" s="7"/>
      <c r="N910" s="7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4"/>
      <c r="I911" s="5"/>
      <c r="J911" s="2"/>
      <c r="K911" s="6"/>
      <c r="L911" s="6"/>
      <c r="M911" s="7"/>
      <c r="N911" s="7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4"/>
      <c r="I912" s="5"/>
      <c r="J912" s="2"/>
      <c r="K912" s="6"/>
      <c r="L912" s="6"/>
      <c r="M912" s="7"/>
      <c r="N912" s="7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4"/>
      <c r="I913" s="5"/>
      <c r="J913" s="2"/>
      <c r="K913" s="6"/>
      <c r="L913" s="6"/>
      <c r="M913" s="7"/>
      <c r="N913" s="7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4"/>
      <c r="I914" s="5"/>
      <c r="J914" s="2"/>
      <c r="K914" s="6"/>
      <c r="L914" s="6"/>
      <c r="M914" s="7"/>
      <c r="N914" s="7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4"/>
      <c r="I915" s="5"/>
      <c r="J915" s="2"/>
      <c r="K915" s="6"/>
      <c r="L915" s="6"/>
      <c r="M915" s="7"/>
      <c r="N915" s="7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4"/>
      <c r="I916" s="5"/>
      <c r="J916" s="2"/>
      <c r="K916" s="6"/>
      <c r="L916" s="6"/>
      <c r="M916" s="7"/>
      <c r="N916" s="7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4"/>
      <c r="I917" s="5"/>
      <c r="J917" s="2"/>
      <c r="K917" s="6"/>
      <c r="L917" s="6"/>
      <c r="M917" s="7"/>
      <c r="N917" s="7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4"/>
      <c r="I918" s="5"/>
      <c r="J918" s="2"/>
      <c r="K918" s="6"/>
      <c r="L918" s="6"/>
      <c r="M918" s="7"/>
      <c r="N918" s="7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4"/>
      <c r="I919" s="5"/>
      <c r="J919" s="2"/>
      <c r="K919" s="6"/>
      <c r="L919" s="6"/>
      <c r="M919" s="7"/>
      <c r="N919" s="7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4"/>
      <c r="I920" s="5"/>
      <c r="J920" s="2"/>
      <c r="K920" s="6"/>
      <c r="L920" s="6"/>
      <c r="M920" s="7"/>
      <c r="N920" s="7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4"/>
      <c r="I921" s="5"/>
      <c r="J921" s="2"/>
      <c r="K921" s="6"/>
      <c r="L921" s="6"/>
      <c r="M921" s="7"/>
      <c r="N921" s="7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4"/>
      <c r="I922" s="5"/>
      <c r="J922" s="2"/>
      <c r="K922" s="6"/>
      <c r="L922" s="6"/>
      <c r="M922" s="7"/>
      <c r="N922" s="7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4"/>
      <c r="I923" s="5"/>
      <c r="J923" s="2"/>
      <c r="K923" s="6"/>
      <c r="L923" s="6"/>
      <c r="M923" s="7"/>
      <c r="N923" s="7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4"/>
      <c r="I924" s="5"/>
      <c r="J924" s="2"/>
      <c r="K924" s="6"/>
      <c r="L924" s="6"/>
      <c r="M924" s="7"/>
      <c r="N924" s="7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4"/>
      <c r="I925" s="5"/>
      <c r="J925" s="2"/>
      <c r="K925" s="6"/>
      <c r="L925" s="6"/>
      <c r="M925" s="7"/>
      <c r="N925" s="7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4"/>
      <c r="I926" s="5"/>
      <c r="J926" s="2"/>
      <c r="K926" s="6"/>
      <c r="L926" s="6"/>
      <c r="M926" s="7"/>
      <c r="N926" s="7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4"/>
      <c r="I927" s="5"/>
      <c r="J927" s="2"/>
      <c r="K927" s="6"/>
      <c r="L927" s="6"/>
      <c r="M927" s="7"/>
      <c r="N927" s="7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4"/>
      <c r="I928" s="5"/>
      <c r="J928" s="2"/>
      <c r="K928" s="6"/>
      <c r="L928" s="6"/>
      <c r="M928" s="7"/>
      <c r="N928" s="7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4"/>
      <c r="I929" s="5"/>
      <c r="J929" s="2"/>
      <c r="K929" s="6"/>
      <c r="L929" s="6"/>
      <c r="M929" s="7"/>
      <c r="N929" s="7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4"/>
      <c r="I930" s="5"/>
      <c r="J930" s="2"/>
      <c r="K930" s="6"/>
      <c r="L930" s="6"/>
      <c r="M930" s="7"/>
      <c r="N930" s="7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4"/>
      <c r="I931" s="5"/>
      <c r="J931" s="2"/>
      <c r="K931" s="6"/>
      <c r="L931" s="6"/>
      <c r="M931" s="7"/>
      <c r="N931" s="7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4"/>
      <c r="I932" s="5"/>
      <c r="J932" s="2"/>
      <c r="K932" s="6"/>
      <c r="L932" s="6"/>
      <c r="M932" s="7"/>
      <c r="N932" s="7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4"/>
      <c r="I933" s="5"/>
      <c r="J933" s="2"/>
      <c r="K933" s="6"/>
      <c r="L933" s="6"/>
      <c r="M933" s="7"/>
      <c r="N933" s="7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4"/>
      <c r="I934" s="5"/>
      <c r="J934" s="2"/>
      <c r="K934" s="6"/>
      <c r="L934" s="6"/>
      <c r="M934" s="7"/>
      <c r="N934" s="7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4"/>
      <c r="I935" s="5"/>
      <c r="J935" s="2"/>
      <c r="K935" s="6"/>
      <c r="L935" s="6"/>
      <c r="M935" s="7"/>
      <c r="N935" s="7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4"/>
      <c r="I936" s="5"/>
      <c r="J936" s="2"/>
      <c r="K936" s="6"/>
      <c r="L936" s="6"/>
      <c r="M936" s="7"/>
      <c r="N936" s="7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4"/>
      <c r="I937" s="5"/>
      <c r="J937" s="2"/>
      <c r="K937" s="6"/>
      <c r="L937" s="6"/>
      <c r="M937" s="7"/>
      <c r="N937" s="7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4"/>
      <c r="I938" s="5"/>
      <c r="J938" s="2"/>
      <c r="K938" s="6"/>
      <c r="L938" s="6"/>
      <c r="M938" s="7"/>
      <c r="N938" s="7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4"/>
      <c r="I939" s="5"/>
      <c r="J939" s="2"/>
      <c r="K939" s="6"/>
      <c r="L939" s="6"/>
      <c r="M939" s="7"/>
      <c r="N939" s="7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4"/>
      <c r="I940" s="5"/>
      <c r="J940" s="2"/>
      <c r="K940" s="6"/>
      <c r="L940" s="6"/>
      <c r="M940" s="7"/>
      <c r="N940" s="7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4"/>
      <c r="I941" s="5"/>
      <c r="J941" s="2"/>
      <c r="K941" s="6"/>
      <c r="L941" s="6"/>
      <c r="M941" s="7"/>
      <c r="N941" s="7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4"/>
      <c r="I942" s="5"/>
      <c r="J942" s="2"/>
      <c r="K942" s="6"/>
      <c r="L942" s="6"/>
      <c r="M942" s="7"/>
      <c r="N942" s="7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4"/>
      <c r="I943" s="5"/>
      <c r="J943" s="2"/>
      <c r="K943" s="6"/>
      <c r="L943" s="6"/>
      <c r="M943" s="7"/>
      <c r="N943" s="7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4"/>
      <c r="I944" s="5"/>
      <c r="J944" s="2"/>
      <c r="K944" s="6"/>
      <c r="L944" s="6"/>
      <c r="M944" s="7"/>
      <c r="N944" s="7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4"/>
      <c r="I945" s="5"/>
      <c r="J945" s="2"/>
      <c r="K945" s="6"/>
      <c r="L945" s="6"/>
      <c r="M945" s="7"/>
      <c r="N945" s="7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4"/>
      <c r="I946" s="5"/>
      <c r="J946" s="2"/>
      <c r="K946" s="6"/>
      <c r="L946" s="6"/>
      <c r="M946" s="7"/>
      <c r="N946" s="7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4"/>
      <c r="I947" s="5"/>
      <c r="J947" s="2"/>
      <c r="K947" s="6"/>
      <c r="L947" s="6"/>
      <c r="M947" s="7"/>
      <c r="N947" s="7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4"/>
      <c r="I948" s="5"/>
      <c r="J948" s="2"/>
      <c r="K948" s="6"/>
      <c r="L948" s="6"/>
      <c r="M948" s="7"/>
      <c r="N948" s="7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4"/>
      <c r="I949" s="5"/>
      <c r="J949" s="2"/>
      <c r="K949" s="6"/>
      <c r="L949" s="6"/>
      <c r="M949" s="7"/>
      <c r="N949" s="7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4"/>
      <c r="I950" s="5"/>
      <c r="J950" s="2"/>
      <c r="K950" s="6"/>
      <c r="L950" s="6"/>
      <c r="M950" s="7"/>
      <c r="N950" s="7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4"/>
      <c r="I951" s="5"/>
      <c r="J951" s="2"/>
      <c r="K951" s="6"/>
      <c r="L951" s="6"/>
      <c r="M951" s="7"/>
      <c r="N951" s="7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4"/>
      <c r="I952" s="5"/>
      <c r="J952" s="2"/>
      <c r="K952" s="6"/>
      <c r="L952" s="6"/>
      <c r="M952" s="7"/>
      <c r="N952" s="7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4"/>
      <c r="I953" s="5"/>
      <c r="J953" s="2"/>
      <c r="K953" s="6"/>
      <c r="L953" s="6"/>
      <c r="M953" s="7"/>
      <c r="N953" s="7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4"/>
      <c r="I954" s="5"/>
      <c r="J954" s="2"/>
      <c r="K954" s="6"/>
      <c r="L954" s="6"/>
      <c r="M954" s="7"/>
      <c r="N954" s="7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4"/>
      <c r="I955" s="5"/>
      <c r="J955" s="2"/>
      <c r="K955" s="6"/>
      <c r="L955" s="6"/>
      <c r="M955" s="7"/>
      <c r="N955" s="7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4"/>
      <c r="I956" s="5"/>
      <c r="J956" s="2"/>
      <c r="K956" s="6"/>
      <c r="L956" s="6"/>
      <c r="M956" s="7"/>
      <c r="N956" s="7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4"/>
      <c r="I957" s="5"/>
      <c r="J957" s="2"/>
      <c r="K957" s="6"/>
      <c r="L957" s="6"/>
      <c r="M957" s="7"/>
      <c r="N957" s="7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4"/>
      <c r="I958" s="5"/>
      <c r="J958" s="2"/>
      <c r="K958" s="6"/>
      <c r="L958" s="6"/>
      <c r="M958" s="7"/>
      <c r="N958" s="7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4"/>
      <c r="I959" s="5"/>
      <c r="J959" s="2"/>
      <c r="K959" s="6"/>
      <c r="L959" s="6"/>
      <c r="M959" s="7"/>
      <c r="N959" s="7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4"/>
      <c r="I960" s="5"/>
      <c r="J960" s="2"/>
      <c r="K960" s="6"/>
      <c r="L960" s="6"/>
      <c r="M960" s="7"/>
      <c r="N960" s="7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4"/>
      <c r="I961" s="5"/>
      <c r="J961" s="2"/>
      <c r="K961" s="6"/>
      <c r="L961" s="6"/>
      <c r="M961" s="7"/>
      <c r="N961" s="7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4"/>
      <c r="I962" s="5"/>
      <c r="J962" s="2"/>
      <c r="K962" s="6"/>
      <c r="L962" s="6"/>
      <c r="M962" s="7"/>
      <c r="N962" s="7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4"/>
      <c r="I963" s="5"/>
      <c r="J963" s="2"/>
      <c r="K963" s="6"/>
      <c r="L963" s="6"/>
      <c r="M963" s="7"/>
      <c r="N963" s="7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4"/>
      <c r="I964" s="5"/>
      <c r="J964" s="2"/>
      <c r="K964" s="6"/>
      <c r="L964" s="6"/>
      <c r="M964" s="7"/>
      <c r="N964" s="7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4"/>
      <c r="I965" s="5"/>
      <c r="J965" s="2"/>
      <c r="K965" s="6"/>
      <c r="L965" s="6"/>
      <c r="M965" s="7"/>
      <c r="N965" s="7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4"/>
      <c r="I966" s="5"/>
      <c r="J966" s="2"/>
      <c r="K966" s="6"/>
      <c r="L966" s="6"/>
      <c r="M966" s="7"/>
      <c r="N966" s="7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4"/>
      <c r="I967" s="5"/>
      <c r="J967" s="2"/>
      <c r="K967" s="6"/>
      <c r="L967" s="6"/>
      <c r="M967" s="7"/>
      <c r="N967" s="7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4"/>
      <c r="I968" s="5"/>
      <c r="J968" s="2"/>
      <c r="K968" s="6"/>
      <c r="L968" s="6"/>
      <c r="M968" s="7"/>
      <c r="N968" s="7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4"/>
      <c r="I969" s="5"/>
      <c r="J969" s="2"/>
      <c r="K969" s="6"/>
      <c r="L969" s="6"/>
      <c r="M969" s="7"/>
      <c r="N969" s="7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4"/>
      <c r="I970" s="5"/>
      <c r="J970" s="2"/>
      <c r="K970" s="6"/>
      <c r="L970" s="6"/>
      <c r="M970" s="7"/>
      <c r="N970" s="7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4"/>
      <c r="I971" s="5"/>
      <c r="J971" s="2"/>
      <c r="K971" s="6"/>
      <c r="L971" s="6"/>
      <c r="M971" s="7"/>
      <c r="N971" s="7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4"/>
      <c r="I972" s="5"/>
      <c r="J972" s="2"/>
      <c r="K972" s="6"/>
      <c r="L972" s="6"/>
      <c r="M972" s="7"/>
      <c r="N972" s="7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4"/>
      <c r="I973" s="5"/>
      <c r="J973" s="2"/>
      <c r="K973" s="6"/>
      <c r="L973" s="6"/>
      <c r="M973" s="7"/>
      <c r="N973" s="7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4"/>
      <c r="I974" s="5"/>
      <c r="J974" s="2"/>
      <c r="K974" s="6"/>
      <c r="L974" s="6"/>
      <c r="M974" s="7"/>
      <c r="N974" s="7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4"/>
      <c r="I975" s="5"/>
      <c r="J975" s="2"/>
      <c r="K975" s="6"/>
      <c r="L975" s="6"/>
      <c r="M975" s="7"/>
      <c r="N975" s="7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4"/>
      <c r="I976" s="5"/>
      <c r="J976" s="2"/>
      <c r="K976" s="6"/>
      <c r="L976" s="6"/>
      <c r="M976" s="7"/>
      <c r="N976" s="7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4"/>
      <c r="I977" s="5"/>
      <c r="J977" s="2"/>
      <c r="K977" s="6"/>
      <c r="L977" s="6"/>
      <c r="M977" s="7"/>
      <c r="N977" s="7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4"/>
      <c r="I978" s="5"/>
      <c r="J978" s="2"/>
      <c r="K978" s="6"/>
      <c r="L978" s="6"/>
      <c r="M978" s="7"/>
      <c r="N978" s="7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4"/>
      <c r="I979" s="5"/>
      <c r="J979" s="2"/>
      <c r="K979" s="6"/>
      <c r="L979" s="6"/>
      <c r="M979" s="7"/>
      <c r="N979" s="7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4"/>
      <c r="I980" s="5"/>
      <c r="J980" s="2"/>
      <c r="K980" s="6"/>
      <c r="L980" s="6"/>
      <c r="M980" s="7"/>
      <c r="N980" s="7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4"/>
      <c r="I981" s="5"/>
      <c r="J981" s="2"/>
      <c r="K981" s="6"/>
      <c r="L981" s="6"/>
      <c r="M981" s="7"/>
      <c r="N981" s="7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4"/>
      <c r="I982" s="5"/>
      <c r="J982" s="2"/>
      <c r="K982" s="6"/>
      <c r="L982" s="6"/>
      <c r="M982" s="7"/>
      <c r="N982" s="7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4"/>
      <c r="I983" s="5"/>
      <c r="J983" s="2"/>
      <c r="K983" s="6"/>
      <c r="L983" s="6"/>
      <c r="M983" s="7"/>
      <c r="N983" s="7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4"/>
      <c r="I984" s="5"/>
      <c r="J984" s="2"/>
      <c r="K984" s="6"/>
      <c r="L984" s="6"/>
      <c r="M984" s="7"/>
      <c r="N984" s="7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4"/>
      <c r="I985" s="5"/>
      <c r="J985" s="2"/>
      <c r="K985" s="6"/>
      <c r="L985" s="6"/>
      <c r="M985" s="7"/>
      <c r="N985" s="7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4"/>
      <c r="I986" s="5"/>
      <c r="J986" s="2"/>
      <c r="K986" s="6"/>
      <c r="L986" s="6"/>
      <c r="M986" s="7"/>
      <c r="N986" s="7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4"/>
      <c r="I987" s="5"/>
      <c r="J987" s="2"/>
      <c r="K987" s="6"/>
      <c r="L987" s="6"/>
      <c r="M987" s="7"/>
      <c r="N987" s="7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4"/>
      <c r="I988" s="5"/>
      <c r="J988" s="2"/>
      <c r="K988" s="6"/>
      <c r="L988" s="6"/>
      <c r="M988" s="7"/>
      <c r="N988" s="7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4"/>
      <c r="I989" s="5"/>
      <c r="J989" s="2"/>
      <c r="K989" s="6"/>
      <c r="L989" s="6"/>
      <c r="M989" s="7"/>
      <c r="N989" s="7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4"/>
      <c r="I990" s="5"/>
      <c r="J990" s="2"/>
      <c r="K990" s="6"/>
      <c r="L990" s="6"/>
      <c r="M990" s="7"/>
      <c r="N990" s="7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4"/>
      <c r="I991" s="5"/>
      <c r="J991" s="2"/>
      <c r="K991" s="6"/>
      <c r="L991" s="6"/>
      <c r="M991" s="7"/>
      <c r="N991" s="7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4"/>
      <c r="I992" s="5"/>
      <c r="J992" s="2"/>
      <c r="K992" s="6"/>
      <c r="L992" s="6"/>
      <c r="M992" s="7"/>
      <c r="N992" s="7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4"/>
      <c r="I993" s="5"/>
      <c r="J993" s="2"/>
      <c r="K993" s="6"/>
      <c r="L993" s="6"/>
      <c r="M993" s="7"/>
      <c r="N993" s="7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4"/>
      <c r="I994" s="5"/>
      <c r="J994" s="2"/>
      <c r="K994" s="6"/>
      <c r="L994" s="6"/>
      <c r="M994" s="7"/>
      <c r="N994" s="7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4"/>
      <c r="I995" s="5"/>
      <c r="J995" s="2"/>
      <c r="K995" s="6"/>
      <c r="L995" s="6"/>
      <c r="M995" s="7"/>
      <c r="N995" s="7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4"/>
      <c r="I996" s="5"/>
      <c r="J996" s="2"/>
      <c r="K996" s="6"/>
      <c r="L996" s="6"/>
      <c r="M996" s="7"/>
      <c r="N996" s="7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4"/>
      <c r="I997" s="5"/>
      <c r="J997" s="2"/>
      <c r="K997" s="6"/>
      <c r="L997" s="6"/>
      <c r="M997" s="7"/>
      <c r="N997" s="7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4"/>
      <c r="I998" s="5"/>
      <c r="J998" s="2"/>
      <c r="K998" s="6"/>
      <c r="L998" s="6"/>
      <c r="M998" s="7"/>
      <c r="N998" s="7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4"/>
      <c r="I999" s="5"/>
      <c r="J999" s="2"/>
      <c r="K999" s="6"/>
      <c r="L999" s="6"/>
      <c r="M999" s="7"/>
      <c r="N999" s="7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4"/>
      <c r="I1000" s="5"/>
      <c r="J1000" s="2"/>
      <c r="K1000" s="6"/>
      <c r="L1000" s="6"/>
      <c r="M1000" s="7"/>
      <c r="N1000" s="7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I6:J6"/>
    <mergeCell ref="K6:N6"/>
    <mergeCell ref="B2:N3"/>
    <mergeCell ref="B5:D5"/>
    <mergeCell ref="E5:F5"/>
    <mergeCell ref="I5:J5"/>
    <mergeCell ref="K5:N5"/>
    <mergeCell ref="B6:D6"/>
    <mergeCell ref="E6:F6"/>
    <mergeCell ref="B17:E17"/>
  </mergeCells>
  <dataValidations>
    <dataValidation type="list" allowBlank="1" showErrorMessage="1" sqref="F9:F16">
      <formula1>$R$3:$R$5</formula1>
    </dataValidation>
    <dataValidation type="list" allowBlank="1" showErrorMessage="1" sqref="M9:M16">
      <formula1>$Q$3:$Q$6</formula1>
    </dataValidation>
    <dataValidation type="list" allowBlank="1" showErrorMessage="1" sqref="G9:G16">
      <formula1>$P$3:$P$6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7.86"/>
    <col customWidth="1" min="7" max="7" width="28.14"/>
    <col customWidth="1" min="8" max="8" width="33.43"/>
    <col customWidth="1" min="9" max="9" width="37.57"/>
    <col customWidth="1" min="10" max="10" width="23.14"/>
    <col customWidth="1" min="11" max="11" width="29.57"/>
    <col customWidth="1" min="12" max="12" width="30.57"/>
    <col customWidth="1" min="13" max="14" width="18.86"/>
    <col customWidth="1" min="15" max="15" width="9.14"/>
    <col customWidth="1" min="16" max="16" width="12.43"/>
    <col customWidth="1" min="17" max="26" width="9.14"/>
  </cols>
  <sheetData>
    <row r="1" ht="14.25" customHeight="1">
      <c r="A1" s="3"/>
      <c r="B1" s="9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3"/>
      <c r="B2" s="17"/>
      <c r="N2" s="18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3"/>
      <c r="B3" s="17"/>
      <c r="N3" s="18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3"/>
      <c r="B4" s="17"/>
      <c r="N4" s="1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3"/>
      <c r="B5" s="17"/>
      <c r="N5" s="18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3"/>
      <c r="B6" s="24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31"/>
      <c r="O6" s="13"/>
      <c r="P6" s="3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3"/>
      <c r="B7" s="37"/>
      <c r="C7" s="39"/>
      <c r="D7" s="39"/>
      <c r="E7" s="39"/>
      <c r="F7" s="39"/>
      <c r="G7" s="39"/>
      <c r="H7" s="42"/>
      <c r="I7" s="39"/>
      <c r="J7" s="39"/>
      <c r="K7" s="37"/>
      <c r="L7" s="37"/>
      <c r="M7" s="13"/>
      <c r="N7" s="13"/>
      <c r="O7" s="13"/>
      <c r="P7" s="3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46"/>
      <c r="B8" s="47" t="s">
        <v>12</v>
      </c>
      <c r="C8" s="47" t="s">
        <v>13</v>
      </c>
      <c r="D8" s="47" t="s">
        <v>14</v>
      </c>
      <c r="E8" s="47" t="s">
        <v>15</v>
      </c>
      <c r="F8" s="47" t="s">
        <v>16</v>
      </c>
      <c r="G8" s="47" t="s">
        <v>17</v>
      </c>
      <c r="H8" s="47" t="s">
        <v>18</v>
      </c>
      <c r="I8" s="47" t="s">
        <v>19</v>
      </c>
      <c r="J8" s="47" t="s">
        <v>20</v>
      </c>
      <c r="K8" s="47" t="s">
        <v>21</v>
      </c>
      <c r="L8" s="47" t="s">
        <v>22</v>
      </c>
      <c r="M8" s="47" t="s">
        <v>23</v>
      </c>
      <c r="N8" s="47" t="s">
        <v>24</v>
      </c>
      <c r="O8" s="56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4.25" customHeight="1">
      <c r="A9" s="3"/>
      <c r="B9" s="60"/>
      <c r="C9" s="44"/>
      <c r="D9" s="44"/>
      <c r="E9" s="44"/>
      <c r="F9" s="63"/>
      <c r="G9" s="64"/>
      <c r="H9" s="64"/>
      <c r="I9" s="64"/>
      <c r="J9" s="64"/>
      <c r="K9" s="64"/>
      <c r="L9" s="64"/>
      <c r="M9" s="64"/>
      <c r="N9" s="6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6.75" customHeight="1">
      <c r="A10" s="3"/>
      <c r="B10" s="70" t="s">
        <v>31</v>
      </c>
      <c r="C10" s="70" t="s">
        <v>40</v>
      </c>
      <c r="D10" s="73">
        <v>14.0</v>
      </c>
      <c r="E10" s="79" t="s">
        <v>43</v>
      </c>
      <c r="F10" s="70" t="s">
        <v>44</v>
      </c>
      <c r="G10" s="85" t="s">
        <v>46</v>
      </c>
      <c r="H10" s="70" t="s">
        <v>48</v>
      </c>
      <c r="I10" s="70" t="s">
        <v>49</v>
      </c>
      <c r="J10" s="93" t="s">
        <v>55</v>
      </c>
      <c r="K10" s="95">
        <v>45649.0</v>
      </c>
      <c r="L10" s="73" t="s">
        <v>59</v>
      </c>
      <c r="M10" s="73" t="s">
        <v>60</v>
      </c>
      <c r="N10" s="101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6.75" customHeight="1">
      <c r="A11" s="3"/>
      <c r="B11" s="70" t="s">
        <v>31</v>
      </c>
      <c r="C11" s="70" t="s">
        <v>40</v>
      </c>
      <c r="D11" s="73">
        <v>14.0</v>
      </c>
      <c r="E11" s="79" t="s">
        <v>67</v>
      </c>
      <c r="F11" s="70" t="s">
        <v>68</v>
      </c>
      <c r="G11" s="85" t="s">
        <v>46</v>
      </c>
      <c r="H11" s="70" t="s">
        <v>48</v>
      </c>
      <c r="I11" s="70" t="s">
        <v>49</v>
      </c>
      <c r="J11" s="93" t="s">
        <v>55</v>
      </c>
      <c r="K11" s="95">
        <v>45649.0</v>
      </c>
      <c r="L11" s="73" t="s">
        <v>59</v>
      </c>
      <c r="M11" s="73" t="s">
        <v>60</v>
      </c>
      <c r="N11" s="101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34.5" customHeight="1">
      <c r="A12" s="3"/>
      <c r="B12" s="70" t="s">
        <v>73</v>
      </c>
      <c r="C12" s="70" t="s">
        <v>40</v>
      </c>
      <c r="D12" s="73">
        <v>14.0</v>
      </c>
      <c r="E12" s="79" t="s">
        <v>74</v>
      </c>
      <c r="F12" s="70" t="s">
        <v>75</v>
      </c>
      <c r="G12" s="85" t="s">
        <v>46</v>
      </c>
      <c r="H12" s="70" t="s">
        <v>76</v>
      </c>
      <c r="I12" s="70" t="s">
        <v>49</v>
      </c>
      <c r="J12" s="93" t="s">
        <v>55</v>
      </c>
      <c r="K12" s="95">
        <v>45649.0</v>
      </c>
      <c r="L12" s="73" t="s">
        <v>59</v>
      </c>
      <c r="M12" s="73" t="s">
        <v>60</v>
      </c>
      <c r="N12" s="101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34.5" customHeight="1">
      <c r="A13" s="3"/>
      <c r="B13" s="70" t="s">
        <v>73</v>
      </c>
      <c r="C13" s="70" t="s">
        <v>40</v>
      </c>
      <c r="D13" s="73">
        <v>14.0</v>
      </c>
      <c r="E13" s="79" t="s">
        <v>78</v>
      </c>
      <c r="F13" s="70" t="s">
        <v>79</v>
      </c>
      <c r="G13" s="85" t="s">
        <v>46</v>
      </c>
      <c r="H13" s="70" t="s">
        <v>80</v>
      </c>
      <c r="I13" s="70" t="s">
        <v>49</v>
      </c>
      <c r="J13" s="93" t="s">
        <v>55</v>
      </c>
      <c r="K13" s="95">
        <v>45649.0</v>
      </c>
      <c r="L13" s="73" t="s">
        <v>59</v>
      </c>
      <c r="M13" s="73" t="s">
        <v>60</v>
      </c>
      <c r="N13" s="101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34.5" customHeight="1">
      <c r="A14" s="3"/>
      <c r="B14" s="70" t="s">
        <v>31</v>
      </c>
      <c r="C14" s="70" t="s">
        <v>40</v>
      </c>
      <c r="D14" s="73">
        <v>14.0</v>
      </c>
      <c r="E14" s="79" t="s">
        <v>81</v>
      </c>
      <c r="F14" s="111" t="s">
        <v>82</v>
      </c>
      <c r="G14" s="85" t="s">
        <v>46</v>
      </c>
      <c r="H14" s="111" t="s">
        <v>83</v>
      </c>
      <c r="I14" s="111" t="s">
        <v>84</v>
      </c>
      <c r="J14" s="93" t="s">
        <v>55</v>
      </c>
      <c r="K14" s="95">
        <v>45649.0</v>
      </c>
      <c r="L14" s="73" t="s">
        <v>59</v>
      </c>
      <c r="M14" s="73" t="s">
        <v>60</v>
      </c>
      <c r="N14" s="101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10.75" customHeight="1">
      <c r="A15" s="3"/>
      <c r="B15" s="70" t="s">
        <v>31</v>
      </c>
      <c r="C15" s="70" t="s">
        <v>40</v>
      </c>
      <c r="D15" s="73">
        <v>14.0</v>
      </c>
      <c r="E15" s="79" t="s">
        <v>86</v>
      </c>
      <c r="F15" s="70" t="s">
        <v>87</v>
      </c>
      <c r="G15" s="85" t="s">
        <v>46</v>
      </c>
      <c r="H15" s="111" t="s">
        <v>83</v>
      </c>
      <c r="I15" s="111" t="s">
        <v>49</v>
      </c>
      <c r="J15" s="93" t="s">
        <v>55</v>
      </c>
      <c r="K15" s="95">
        <v>45649.0</v>
      </c>
      <c r="L15" s="73" t="s">
        <v>59</v>
      </c>
      <c r="M15" s="73" t="s">
        <v>60</v>
      </c>
      <c r="N15" s="101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10.75" customHeight="1">
      <c r="A16" s="3"/>
      <c r="B16" s="70" t="s">
        <v>73</v>
      </c>
      <c r="C16" s="70" t="s">
        <v>40</v>
      </c>
      <c r="D16" s="73">
        <v>14.0</v>
      </c>
      <c r="E16" s="79" t="s">
        <v>88</v>
      </c>
      <c r="F16" s="70" t="s">
        <v>89</v>
      </c>
      <c r="G16" s="85" t="s">
        <v>46</v>
      </c>
      <c r="H16" s="70" t="s">
        <v>90</v>
      </c>
      <c r="I16" s="70" t="s">
        <v>49</v>
      </c>
      <c r="J16" s="93" t="s">
        <v>55</v>
      </c>
      <c r="K16" s="95">
        <v>45649.0</v>
      </c>
      <c r="L16" s="73" t="s">
        <v>59</v>
      </c>
      <c r="M16" s="73" t="s">
        <v>60</v>
      </c>
      <c r="N16" s="101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10.75" customHeight="1">
      <c r="A17" s="3"/>
      <c r="B17" s="70" t="s">
        <v>73</v>
      </c>
      <c r="C17" s="70" t="s">
        <v>40</v>
      </c>
      <c r="D17" s="73">
        <v>14.0</v>
      </c>
      <c r="E17" s="79" t="s">
        <v>91</v>
      </c>
      <c r="F17" s="126" t="s">
        <v>92</v>
      </c>
      <c r="G17" s="85" t="s">
        <v>46</v>
      </c>
      <c r="H17" s="70" t="s">
        <v>93</v>
      </c>
      <c r="I17" s="70" t="s">
        <v>49</v>
      </c>
      <c r="J17" s="93" t="s">
        <v>55</v>
      </c>
      <c r="K17" s="95">
        <v>45649.0</v>
      </c>
      <c r="L17" s="73" t="s">
        <v>59</v>
      </c>
      <c r="M17" s="73" t="s">
        <v>60</v>
      </c>
      <c r="N17" s="101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10.75" customHeight="1">
      <c r="A18" s="3"/>
      <c r="B18" s="70" t="s">
        <v>73</v>
      </c>
      <c r="C18" s="70" t="s">
        <v>40</v>
      </c>
      <c r="D18" s="73">
        <v>14.0</v>
      </c>
      <c r="E18" s="128" t="s">
        <v>94</v>
      </c>
      <c r="F18" s="70" t="s">
        <v>95</v>
      </c>
      <c r="G18" s="85" t="s">
        <v>46</v>
      </c>
      <c r="H18" s="126" t="s">
        <v>96</v>
      </c>
      <c r="I18" s="70" t="s">
        <v>49</v>
      </c>
      <c r="J18" s="93" t="s">
        <v>55</v>
      </c>
      <c r="K18" s="95">
        <v>45649.0</v>
      </c>
      <c r="L18" s="73" t="s">
        <v>59</v>
      </c>
      <c r="M18" s="73" t="s">
        <v>60</v>
      </c>
      <c r="N18" s="101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10.75" customHeight="1">
      <c r="A19" s="3"/>
      <c r="B19" s="70" t="s">
        <v>73</v>
      </c>
      <c r="C19" s="70" t="s">
        <v>97</v>
      </c>
      <c r="D19" s="73">
        <v>16.0</v>
      </c>
      <c r="E19" s="128" t="s">
        <v>98</v>
      </c>
      <c r="F19" s="126" t="s">
        <v>99</v>
      </c>
      <c r="G19" s="85" t="s">
        <v>46</v>
      </c>
      <c r="H19" s="131" t="s">
        <v>100</v>
      </c>
      <c r="I19" s="70" t="s">
        <v>49</v>
      </c>
      <c r="J19" s="93" t="s">
        <v>55</v>
      </c>
      <c r="K19" s="95">
        <v>45649.0</v>
      </c>
      <c r="L19" s="73" t="s">
        <v>59</v>
      </c>
      <c r="M19" s="73" t="s">
        <v>60</v>
      </c>
      <c r="N19" s="101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210.75" customHeight="1">
      <c r="A20" s="3"/>
      <c r="B20" s="70" t="s">
        <v>104</v>
      </c>
      <c r="C20" s="70" t="s">
        <v>106</v>
      </c>
      <c r="D20" s="73">
        <v>18.0</v>
      </c>
      <c r="E20" s="128" t="s">
        <v>107</v>
      </c>
      <c r="F20" s="70" t="s">
        <v>108</v>
      </c>
      <c r="G20" s="85" t="s">
        <v>46</v>
      </c>
      <c r="H20" s="70" t="s">
        <v>109</v>
      </c>
      <c r="I20" s="70" t="s">
        <v>49</v>
      </c>
      <c r="J20" s="93" t="s">
        <v>55</v>
      </c>
      <c r="K20" s="95">
        <v>45649.0</v>
      </c>
      <c r="L20" s="73" t="s">
        <v>59</v>
      </c>
      <c r="M20" s="73" t="s">
        <v>60</v>
      </c>
      <c r="N20" s="101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210.75" customHeight="1">
      <c r="A21" s="3"/>
      <c r="B21" s="70" t="s">
        <v>104</v>
      </c>
      <c r="C21" s="70" t="s">
        <v>106</v>
      </c>
      <c r="D21" s="73">
        <v>18.0</v>
      </c>
      <c r="E21" s="128" t="s">
        <v>111</v>
      </c>
      <c r="F21" s="70" t="s">
        <v>112</v>
      </c>
      <c r="G21" s="85" t="s">
        <v>46</v>
      </c>
      <c r="H21" s="70" t="s">
        <v>113</v>
      </c>
      <c r="I21" s="70" t="s">
        <v>49</v>
      </c>
      <c r="J21" s="93" t="s">
        <v>55</v>
      </c>
      <c r="K21" s="95">
        <v>45649.0</v>
      </c>
      <c r="L21" s="73" t="s">
        <v>59</v>
      </c>
      <c r="M21" s="73" t="s">
        <v>60</v>
      </c>
      <c r="N21" s="101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210.75" customHeight="1">
      <c r="A22" s="3"/>
      <c r="B22" s="70" t="s">
        <v>104</v>
      </c>
      <c r="C22" s="70" t="s">
        <v>106</v>
      </c>
      <c r="D22" s="73">
        <v>19.0</v>
      </c>
      <c r="E22" s="145" t="s">
        <v>116</v>
      </c>
      <c r="F22" s="149" t="s">
        <v>117</v>
      </c>
      <c r="G22" s="67" t="s">
        <v>46</v>
      </c>
      <c r="H22" s="151" t="s">
        <v>118</v>
      </c>
      <c r="I22" s="70" t="s">
        <v>49</v>
      </c>
      <c r="J22" s="93" t="s">
        <v>55</v>
      </c>
      <c r="K22" s="95">
        <v>45649.0</v>
      </c>
      <c r="L22" s="73" t="s">
        <v>59</v>
      </c>
      <c r="M22" s="73" t="s">
        <v>60</v>
      </c>
      <c r="N22" s="101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210.75" customHeight="1">
      <c r="A23" s="3"/>
      <c r="B23" s="70" t="s">
        <v>104</v>
      </c>
      <c r="C23" s="70" t="s">
        <v>106</v>
      </c>
      <c r="D23" s="73">
        <v>20.0</v>
      </c>
      <c r="E23" s="157" t="s">
        <v>120</v>
      </c>
      <c r="F23" s="70" t="s">
        <v>123</v>
      </c>
      <c r="G23" s="85" t="s">
        <v>46</v>
      </c>
      <c r="H23" s="70" t="s">
        <v>118</v>
      </c>
      <c r="I23" s="70" t="s">
        <v>49</v>
      </c>
      <c r="J23" s="93" t="s">
        <v>55</v>
      </c>
      <c r="K23" s="95">
        <v>45649.0</v>
      </c>
      <c r="L23" s="73" t="s">
        <v>59</v>
      </c>
      <c r="M23" s="73" t="s">
        <v>60</v>
      </c>
      <c r="N23" s="101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B1:N6"/>
    <mergeCell ref="B9:F9"/>
  </mergeCells>
  <dataValidations>
    <dataValidation type="list" allowBlank="1" showErrorMessage="1" sqref="J10:J23">
      <formula1>"Berhasil,Gagal,Siap dites,Tidak dites,Belum dites,Butuh konfirmasi"</formula1>
    </dataValidation>
    <dataValidation type="list" allowBlank="1" showErrorMessage="1" sqref="M10:M23">
      <formula1>"Script Plan,Script Tambahan"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.57"/>
    <col customWidth="1" min="2" max="2" width="15.43"/>
    <col customWidth="1" min="3" max="3" width="22.71"/>
    <col customWidth="1" min="4" max="4" width="15.71"/>
    <col customWidth="1" min="5" max="5" width="15.0"/>
    <col customWidth="1" min="6" max="6" width="40.57"/>
    <col customWidth="1" min="7" max="7" width="33.43"/>
    <col customWidth="1" min="8" max="8" width="37.57"/>
    <col customWidth="1" min="9" max="9" width="23.14"/>
    <col customWidth="1" min="10" max="10" width="29.57"/>
    <col customWidth="1" min="11" max="12" width="18.86"/>
    <col customWidth="1" min="13" max="13" width="9.14"/>
    <col customWidth="1" min="14" max="14" width="12.43"/>
    <col customWidth="1" min="15" max="26" width="9.14"/>
  </cols>
  <sheetData>
    <row r="1" ht="28.5" customHeight="1">
      <c r="A1" s="3"/>
      <c r="B1" s="208" t="s">
        <v>479</v>
      </c>
      <c r="C1" s="10"/>
      <c r="D1" s="10"/>
      <c r="E1" s="10"/>
      <c r="F1" s="10"/>
      <c r="G1" s="10"/>
      <c r="H1" s="10"/>
      <c r="I1" s="10"/>
      <c r="J1" s="10"/>
      <c r="K1" s="10"/>
      <c r="L1" s="11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3"/>
      <c r="B2" s="17"/>
      <c r="L2" s="18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3"/>
      <c r="B3" s="17"/>
      <c r="L3" s="1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3"/>
      <c r="B4" s="17"/>
      <c r="L4" s="1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3"/>
      <c r="B5" s="17"/>
      <c r="L5" s="1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3"/>
      <c r="B6" s="24"/>
      <c r="C6" s="27"/>
      <c r="D6" s="27"/>
      <c r="E6" s="27"/>
      <c r="F6" s="27"/>
      <c r="G6" s="27"/>
      <c r="H6" s="27"/>
      <c r="I6" s="27"/>
      <c r="J6" s="27"/>
      <c r="K6" s="27"/>
      <c r="L6" s="31"/>
      <c r="M6" s="13"/>
      <c r="N6" s="3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3"/>
      <c r="B7" s="37"/>
      <c r="C7" s="39"/>
      <c r="D7" s="39"/>
      <c r="E7" s="39"/>
      <c r="F7" s="39"/>
      <c r="G7" s="42"/>
      <c r="H7" s="39"/>
      <c r="I7" s="39"/>
      <c r="J7" s="37"/>
      <c r="K7" s="13"/>
      <c r="L7" s="13"/>
      <c r="M7" s="13"/>
      <c r="N7" s="3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46"/>
      <c r="B8" s="47" t="s">
        <v>12</v>
      </c>
      <c r="C8" s="47" t="s">
        <v>13</v>
      </c>
      <c r="D8" s="47" t="s">
        <v>14</v>
      </c>
      <c r="E8" s="47" t="s">
        <v>15</v>
      </c>
      <c r="F8" s="47" t="s">
        <v>16</v>
      </c>
      <c r="G8" s="47" t="s">
        <v>18</v>
      </c>
      <c r="H8" s="47" t="s">
        <v>19</v>
      </c>
      <c r="I8" s="209" t="s">
        <v>480</v>
      </c>
      <c r="J8" s="47" t="s">
        <v>21</v>
      </c>
      <c r="K8" s="47" t="s">
        <v>23</v>
      </c>
      <c r="L8" s="47" t="s">
        <v>22</v>
      </c>
      <c r="M8" s="56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33.0" customHeight="1">
      <c r="A9" s="3"/>
      <c r="B9" s="210"/>
      <c r="C9" s="44"/>
      <c r="D9" s="44"/>
      <c r="E9" s="44"/>
      <c r="F9" s="63"/>
      <c r="G9" s="211"/>
      <c r="H9" s="211"/>
      <c r="I9" s="211"/>
      <c r="J9" s="211"/>
      <c r="K9" s="211"/>
      <c r="L9" s="212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6.25" customHeight="1">
      <c r="A10" s="3"/>
      <c r="B10" s="213"/>
      <c r="C10" s="214"/>
      <c r="D10" s="215"/>
      <c r="E10" s="216"/>
      <c r="F10" s="213"/>
      <c r="G10" s="213"/>
      <c r="H10" s="85"/>
      <c r="I10" s="93"/>
      <c r="J10" s="217"/>
      <c r="K10" s="218"/>
      <c r="L10" s="219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6.25" customHeight="1">
      <c r="A11" s="3"/>
      <c r="B11" s="213"/>
      <c r="C11" s="214"/>
      <c r="D11" s="215"/>
      <c r="E11" s="216"/>
      <c r="F11" s="213"/>
      <c r="G11" s="213"/>
      <c r="H11" s="85"/>
      <c r="I11" s="93"/>
      <c r="J11" s="217"/>
      <c r="K11" s="218"/>
      <c r="L11" s="219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6.25" customHeight="1">
      <c r="A12" s="3"/>
      <c r="B12" s="213"/>
      <c r="C12" s="214"/>
      <c r="D12" s="215"/>
      <c r="E12" s="216"/>
      <c r="F12" s="213"/>
      <c r="G12" s="213"/>
      <c r="H12" s="85"/>
      <c r="I12" s="93"/>
      <c r="J12" s="217"/>
      <c r="K12" s="218"/>
      <c r="L12" s="219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26.25" customHeight="1">
      <c r="A13" s="3"/>
      <c r="B13" s="213"/>
      <c r="C13" s="214"/>
      <c r="D13" s="215"/>
      <c r="E13" s="216"/>
      <c r="F13" s="213"/>
      <c r="G13" s="213"/>
      <c r="H13" s="85"/>
      <c r="I13" s="93"/>
      <c r="J13" s="217"/>
      <c r="K13" s="218"/>
      <c r="L13" s="219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6.25" customHeight="1">
      <c r="A14" s="3"/>
      <c r="B14" s="213"/>
      <c r="C14" s="214"/>
      <c r="D14" s="215"/>
      <c r="E14" s="216"/>
      <c r="F14" s="213"/>
      <c r="G14" s="213"/>
      <c r="H14" s="85"/>
      <c r="I14" s="93"/>
      <c r="J14" s="217"/>
      <c r="K14" s="218"/>
      <c r="L14" s="219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26.25" customHeight="1">
      <c r="A15" s="3"/>
      <c r="B15" s="213"/>
      <c r="C15" s="214"/>
      <c r="D15" s="215"/>
      <c r="E15" s="216"/>
      <c r="F15" s="213"/>
      <c r="G15" s="213"/>
      <c r="H15" s="85"/>
      <c r="I15" s="93"/>
      <c r="J15" s="217"/>
      <c r="K15" s="218"/>
      <c r="L15" s="219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6.25" customHeight="1">
      <c r="A16" s="3"/>
      <c r="B16" s="213"/>
      <c r="C16" s="214"/>
      <c r="D16" s="215"/>
      <c r="E16" s="216"/>
      <c r="F16" s="213"/>
      <c r="G16" s="213"/>
      <c r="H16" s="85"/>
      <c r="I16" s="93"/>
      <c r="J16" s="217"/>
      <c r="K16" s="218"/>
      <c r="L16" s="21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6.25" customHeight="1">
      <c r="A17" s="3"/>
      <c r="B17" s="213"/>
      <c r="C17" s="214"/>
      <c r="D17" s="215"/>
      <c r="E17" s="216"/>
      <c r="F17" s="213"/>
      <c r="G17" s="213"/>
      <c r="H17" s="85"/>
      <c r="I17" s="93"/>
      <c r="J17" s="217"/>
      <c r="K17" s="218"/>
      <c r="L17" s="219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26.25" customHeight="1">
      <c r="A18" s="3"/>
      <c r="B18" s="213"/>
      <c r="C18" s="214"/>
      <c r="D18" s="215"/>
      <c r="E18" s="216"/>
      <c r="F18" s="213"/>
      <c r="G18" s="213"/>
      <c r="H18" s="85"/>
      <c r="I18" s="93"/>
      <c r="J18" s="217"/>
      <c r="K18" s="218"/>
      <c r="L18" s="219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26.25" customHeight="1">
      <c r="A19" s="3"/>
      <c r="B19" s="213"/>
      <c r="C19" s="214"/>
      <c r="D19" s="215"/>
      <c r="E19" s="216"/>
      <c r="F19" s="213"/>
      <c r="G19" s="213"/>
      <c r="H19" s="85"/>
      <c r="I19" s="93"/>
      <c r="J19" s="217"/>
      <c r="K19" s="218"/>
      <c r="L19" s="219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B1:L6"/>
    <mergeCell ref="B9:F9"/>
  </mergeCells>
  <dataValidations>
    <dataValidation type="list" allowBlank="1" showErrorMessage="1" sqref="I10:I19">
      <formula1>"Berhasil,Gagal,Siap dites,Tidak dites,Belum dites,Butuh konfirmasi"</formula1>
    </dataValidation>
    <dataValidation type="list" allowBlank="1" showErrorMessage="1" sqref="B10:B19">
      <formula1>$O$1:$O$4</formula1>
    </dataValidation>
    <dataValidation type="list" allowBlank="1" showErrorMessage="1" sqref="K10:K19">
      <formula1>"Script Plan,Script Tambahan"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57"/>
    <col customWidth="1" min="2" max="2" width="14.71"/>
    <col customWidth="1" min="3" max="3" width="21.57"/>
    <col customWidth="1" min="4" max="5" width="23.57"/>
    <col customWidth="1" min="6" max="7" width="22.57"/>
    <col customWidth="1" min="8" max="8" width="35.71"/>
    <col customWidth="1" min="9" max="26" width="8.71"/>
  </cols>
  <sheetData>
    <row r="1" ht="14.25" customHeight="1"/>
    <row r="2" ht="19.5" customHeight="1">
      <c r="B2" s="220" t="s">
        <v>481</v>
      </c>
      <c r="C2" s="220" t="s">
        <v>482</v>
      </c>
      <c r="D2" s="220" t="s">
        <v>483</v>
      </c>
      <c r="E2" s="220" t="s">
        <v>484</v>
      </c>
      <c r="F2" s="220" t="s">
        <v>485</v>
      </c>
      <c r="G2" s="220" t="s">
        <v>15</v>
      </c>
      <c r="H2" s="220" t="s">
        <v>486</v>
      </c>
    </row>
    <row r="3" ht="14.25" customHeight="1">
      <c r="B3" s="221"/>
      <c r="C3" s="222"/>
      <c r="D3" s="223"/>
      <c r="E3" s="223"/>
      <c r="F3" s="223"/>
      <c r="G3" s="223"/>
      <c r="H3" s="223"/>
    </row>
    <row r="4" ht="14.25" customHeight="1">
      <c r="B4" s="224"/>
      <c r="C4" s="224"/>
      <c r="D4" s="223"/>
      <c r="E4" s="223"/>
      <c r="F4" s="223"/>
      <c r="G4" s="223"/>
      <c r="H4" s="223"/>
    </row>
    <row r="5" ht="14.25" customHeight="1">
      <c r="B5" s="224"/>
      <c r="C5" s="224"/>
      <c r="D5" s="223"/>
      <c r="E5" s="223"/>
      <c r="F5" s="223"/>
      <c r="G5" s="223"/>
      <c r="H5" s="223"/>
    </row>
    <row r="6" ht="14.25" customHeight="1">
      <c r="B6" s="49"/>
      <c r="C6" s="49"/>
      <c r="D6" s="223"/>
      <c r="E6" s="223"/>
      <c r="F6" s="223"/>
      <c r="G6" s="223"/>
      <c r="H6" s="223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:B6"/>
    <mergeCell ref="C3:C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2024-06-20T02:38:12Z</dcterms:created>
  <dc:creator>Rizkika Arilia</dc:creator>
</cp:coreProperties>
</file>